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caruana/Documents/GitHub/Stradaintel/"/>
    </mc:Choice>
  </mc:AlternateContent>
  <xr:revisionPtr revIDLastSave="0" documentId="8_{3309C726-DCD4-5C46-96A8-2B398F8DF0D9}" xr6:coauthVersionLast="47" xr6:coauthVersionMax="47" xr10:uidLastSave="{00000000-0000-0000-0000-000000000000}"/>
  <bookViews>
    <workbookView xWindow="680" yWindow="660" windowWidth="28040" windowHeight="17160" activeTab="1" xr2:uid="{2CF14B4A-43A4-5F42-BD03-1B9D6A7B8FB8}"/>
  </bookViews>
  <sheets>
    <sheet name="Summary" sheetId="3" r:id="rId1"/>
    <sheet name="Bug Log" sheetId="1" r:id="rId2"/>
    <sheet name="List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T5" i="1"/>
  <c r="T6" i="1"/>
  <c r="E24" i="3"/>
  <c r="E23" i="3"/>
  <c r="E20" i="3"/>
  <c r="D25" i="3"/>
  <c r="E25" i="3" s="1"/>
  <c r="D24" i="3"/>
  <c r="D23" i="3"/>
  <c r="D22" i="3"/>
  <c r="E22" i="3" s="1"/>
  <c r="D21" i="3"/>
  <c r="E21" i="3" s="1"/>
  <c r="D20" i="3"/>
  <c r="D19" i="3"/>
  <c r="E19" i="3" s="1"/>
  <c r="D18" i="3"/>
  <c r="E18" i="3" s="1"/>
  <c r="D17" i="3"/>
  <c r="E17" i="3" s="1"/>
  <c r="D16" i="3"/>
  <c r="E16" i="3" s="1"/>
  <c r="D15" i="3"/>
  <c r="E15" i="3" s="1"/>
  <c r="D12" i="3"/>
  <c r="E12" i="3" s="1"/>
  <c r="D11" i="3"/>
  <c r="E11" i="3" s="1"/>
  <c r="D10" i="3"/>
  <c r="E10" i="3" s="1"/>
  <c r="D9" i="3"/>
  <c r="E9" i="3" s="1"/>
  <c r="A19" i="3"/>
  <c r="B19" i="3" s="1"/>
  <c r="A18" i="3"/>
  <c r="B18" i="3" s="1"/>
  <c r="A17" i="3"/>
  <c r="B17" i="3" s="1"/>
  <c r="A16" i="3"/>
  <c r="B16" i="3" s="1"/>
  <c r="A15" i="3"/>
  <c r="B15" i="3" s="1"/>
  <c r="A14" i="3"/>
  <c r="B14" i="3" s="1"/>
  <c r="A13" i="3"/>
  <c r="B13" i="3" s="1"/>
  <c r="A12" i="3"/>
  <c r="B12" i="3" s="1"/>
  <c r="A11" i="3"/>
  <c r="B11" i="3" s="1"/>
  <c r="A10" i="3"/>
  <c r="B10" i="3" s="1"/>
  <c r="A9" i="3"/>
  <c r="B9" i="3" s="1"/>
  <c r="B5" i="3"/>
  <c r="B3" i="3"/>
  <c r="B4" i="3" s="1"/>
  <c r="B6" i="3" l="1"/>
</calcChain>
</file>

<file path=xl/sharedStrings.xml><?xml version="1.0" encoding="utf-8"?>
<sst xmlns="http://schemas.openxmlformats.org/spreadsheetml/2006/main" count="128" uniqueCount="110">
  <si>
    <t>Status</t>
  </si>
  <si>
    <t>Priority</t>
  </si>
  <si>
    <t>Severity</t>
  </si>
  <si>
    <t>Dashboard Section</t>
  </si>
  <si>
    <t>Bug Category / Type</t>
  </si>
  <si>
    <t>Affected Data Source</t>
  </si>
  <si>
    <t>Environment</t>
  </si>
  <si>
    <t>Frequency</t>
  </si>
  <si>
    <t>New</t>
  </si>
  <si>
    <t>Triaged</t>
  </si>
  <si>
    <t>In Progress</t>
  </si>
  <si>
    <t>Blocked</t>
  </si>
  <si>
    <t>In Review</t>
  </si>
  <si>
    <t>Fixed - Pending Verification</t>
  </si>
  <si>
    <t>Verified / Closed</t>
  </si>
  <si>
    <t>Reopened</t>
  </si>
  <si>
    <t>Won't Fix</t>
  </si>
  <si>
    <t>Duplicate</t>
  </si>
  <si>
    <t>Cannot Reproduce</t>
  </si>
  <si>
    <t>P0 - Critical</t>
  </si>
  <si>
    <t>P1 - High</t>
  </si>
  <si>
    <t>P2 - Medium</t>
  </si>
  <si>
    <t>P3 - Low</t>
  </si>
  <si>
    <t>S1 - Blocker</t>
  </si>
  <si>
    <t>S2 - Critical</t>
  </si>
  <si>
    <t>S3 - Major</t>
  </si>
  <si>
    <t>S4 - Minor</t>
  </si>
  <si>
    <t>S5 - Cosmetic</t>
  </si>
  <si>
    <t>1. Verdict / Headline Score</t>
  </si>
  <si>
    <t>2. KPI Tiles</t>
  </si>
  <si>
    <t>3. Seven Pillars</t>
  </si>
  <si>
    <t>4. Property Mix</t>
  </si>
  <si>
    <t>5. 9-Month Trend Charts</t>
  </si>
  <si>
    <t>6. Asking Price Per Sq Ft</t>
  </si>
  <si>
    <t>7. Transaction Volume by Area</t>
  </si>
  <si>
    <t>8. Rental Yield by Property Type</t>
  </si>
  <si>
    <t>9. Recent Sales Transactions</t>
  </si>
  <si>
    <t>Global / Site-wide (header, nav, layout)</t>
  </si>
  <si>
    <t>Data Pipeline / Backend</t>
  </si>
  <si>
    <t>Data Accuracy (wrong value)</t>
  </si>
  <si>
    <t>Data Freshness / Stale Data</t>
  </si>
  <si>
    <t>Missing / No Data</t>
  </si>
  <si>
    <t>Calculation / Logic Error</t>
  </si>
  <si>
    <t>Chart / Visualization</t>
  </si>
  <si>
    <t>UI / Layout / Styling</t>
  </si>
  <si>
    <t>Functional / Broken Feature</t>
  </si>
  <si>
    <t>Navigation / Broken Link</t>
  </si>
  <si>
    <t>Performance / Slow Load</t>
  </si>
  <si>
    <t>Responsive / Mobile</t>
  </si>
  <si>
    <t>Accessibility</t>
  </si>
  <si>
    <t>Content / Copy / Label</t>
  </si>
  <si>
    <t>Data Source / API Integration</t>
  </si>
  <si>
    <t>Security</t>
  </si>
  <si>
    <t>Other</t>
  </si>
  <si>
    <t>DLD Transactions</t>
  </si>
  <si>
    <t>Rental Yield Data</t>
  </si>
  <si>
    <t>Asking Prices</t>
  </si>
  <si>
    <t>Oil / Brent Price</t>
  </si>
  <si>
    <t>Interest Rates</t>
  </si>
  <si>
    <t>Stock Markets (UAE / Gulf)</t>
  </si>
  <si>
    <t>News / Geopolitics Feed</t>
  </si>
  <si>
    <t>Tourism / Aviation Data</t>
  </si>
  <si>
    <t>Developer Financials</t>
  </si>
  <si>
    <t>Multiple / Mixed</t>
  </si>
  <si>
    <t>N/A (UI only)</t>
  </si>
  <si>
    <t>Production</t>
  </si>
  <si>
    <t>Staging</t>
  </si>
  <si>
    <t>Development</t>
  </si>
  <si>
    <t>Always (100%)</t>
  </si>
  <si>
    <t>Often</t>
  </si>
  <si>
    <t>Sometimes</t>
  </si>
  <si>
    <t>Rarely</t>
  </si>
  <si>
    <t>Once</t>
  </si>
  <si>
    <t>STRADA INTELLIGENCE — WEBSITE BUG TRACKER</t>
  </si>
  <si>
    <t>Log every bug — large or small. Use the dropdowns to keep categories consistent for the review team. New rows auto-extend the table.</t>
  </si>
  <si>
    <t>Bug ID</t>
  </si>
  <si>
    <t>Date Reported</t>
  </si>
  <si>
    <t>Reported By</t>
  </si>
  <si>
    <t>Title / Summary</t>
  </si>
  <si>
    <t>Browser / Device</t>
  </si>
  <si>
    <t>Steps to Reproduce</t>
  </si>
  <si>
    <t>Expected Result</t>
  </si>
  <si>
    <t>Actual Result</t>
  </si>
  <si>
    <t>Screenshot / Link</t>
  </si>
  <si>
    <t>Assigned To</t>
  </si>
  <si>
    <t>Date Resolved</t>
  </si>
  <si>
    <t>Days Open</t>
  </si>
  <si>
    <t>Root Cause</t>
  </si>
  <si>
    <t>Resolution / Notes</t>
  </si>
  <si>
    <t>BUG-001</t>
  </si>
  <si>
    <t>Chrome 126 / Desktop</t>
  </si>
  <si>
    <t>Data Team</t>
  </si>
  <si>
    <t>Suspect currency aggregation dropping AED-denominated rows.</t>
  </si>
  <si>
    <t>STRADA INTELLIGENCE — BUG TRACKER SUMMARY</t>
  </si>
  <si>
    <t>Total Bugs Logged</t>
  </si>
  <si>
    <t>Open (not closed/rejected)</t>
  </si>
  <si>
    <t>Closed / Verified</t>
  </si>
  <si>
    <t>Avg Days Open</t>
  </si>
  <si>
    <t>By Status</t>
  </si>
  <si>
    <t>Count</t>
  </si>
  <si>
    <t>By Priority</t>
  </si>
  <si>
    <t>By Dashboard Section</t>
  </si>
  <si>
    <t>Kyle</t>
  </si>
  <si>
    <t>22/06/2026</t>
  </si>
  <si>
    <t xml:space="preserve">Total listing volume for rent is showing an abnormally large number for Jumeirah Village Circle (28020 listings) which could suggest file dump is not de duping. I manually checked on propertyfinder and this many listings did not come up. </t>
  </si>
  <si>
    <t>10.Lising volume</t>
  </si>
  <si>
    <t>Property Portal Data</t>
  </si>
  <si>
    <t xml:space="preserve">1. Open dashboard. 2. View Listing data </t>
  </si>
  <si>
    <t>Figure should be around 15,000 or 18,000</t>
  </si>
  <si>
    <t>Tile reads around 28,000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</si>
</sst>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7" formatCode="dd/mm/yyyy;@"/>
  </numFmts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10"/>
      <color rgb="FF44444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/>
    <xf numFmtId="14" fontId="0" fillId="0" borderId="0" xfId="0" applyNumberFormat="1"/>
    <xf numFmtId="164" fontId="0" fillId="0" borderId="0" xfId="0" applyNumberFormat="1"/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0" fontId="2" fillId="3" borderId="0" xfId="0" applyFont="1" applyFill="1"/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quotePrefix="1" applyAlignment="1">
      <alignment vertical="top" wrapText="1"/>
    </xf>
    <xf numFmtId="0" fontId="0" fillId="0" borderId="0" xfId="0" applyAlignment="1">
      <alignment horizontal="center" vertical="top"/>
    </xf>
    <xf numFmtId="164" fontId="0" fillId="0" borderId="0" xfId="0" applyNumberFormat="1" applyAlignment="1">
      <alignment horizontal="center" vertical="top"/>
    </xf>
    <xf numFmtId="1" fontId="0" fillId="0" borderId="0" xfId="0" applyNumberFormat="1" applyAlignment="1">
      <alignment horizontal="center" vertical="top"/>
    </xf>
    <xf numFmtId="1" fontId="0" fillId="0" borderId="0" xfId="0" applyNumberFormat="1"/>
    <xf numFmtId="14" fontId="2" fillId="3" borderId="0" xfId="0" applyNumberFormat="1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top"/>
    </xf>
    <xf numFmtId="167" fontId="0" fillId="0" borderId="0" xfId="0" applyNumberFormat="1" applyAlignment="1">
      <alignment horizontal="center" vertical="top"/>
    </xf>
  </cellXfs>
  <cellStyles count="1">
    <cellStyle name="Normal" xfId="0" builtinId="0"/>
  </cellStyles>
  <dxfs count="38">
    <dxf>
      <numFmt numFmtId="1" formatCode="0"/>
      <alignment horizontal="center" vertical="top"/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1F3864"/>
      </font>
      <fill>
        <patternFill patternType="solid">
          <fgColor indexed="64"/>
          <bgColor rgb="FFDDEBF7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3F3F3F"/>
      </font>
      <fill>
        <patternFill patternType="solid">
          <fgColor indexed="64"/>
          <bgColor rgb="FFD9D9D9"/>
        </patternFill>
      </fill>
    </dxf>
    <dxf>
      <font>
        <color rgb="FF3F3F3F"/>
      </font>
      <fill>
        <patternFill patternType="solid">
          <fgColor indexed="64"/>
          <bgColor rgb="FFD9D9D9"/>
        </patternFill>
      </fill>
    </dxf>
    <dxf>
      <font>
        <color rgb="FF3F3F3F"/>
      </font>
      <fill>
        <patternFill patternType="solid">
          <fgColor indexed="64"/>
          <bgColor rgb="FFD9D9D9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0000"/>
      </font>
      <fill>
        <patternFill patternType="solid">
          <fgColor indexed="64"/>
          <bgColor rgb="FFFFD966"/>
        </patternFill>
      </fill>
    </dxf>
    <dxf>
      <font>
        <color rgb="FFFFFFFF"/>
      </font>
      <fill>
        <patternFill patternType="solid">
          <fgColor indexed="64"/>
          <bgColor rgb="FFFF7C2A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000000"/>
      </font>
      <fill>
        <patternFill patternType="solid">
          <fgColor indexed="64"/>
          <bgColor rgb="FFA9D08E"/>
        </patternFill>
      </fill>
    </dxf>
    <dxf>
      <font>
        <color rgb="FF000000"/>
      </font>
      <fill>
        <patternFill patternType="solid">
          <fgColor indexed="64"/>
          <bgColor rgb="FFFFD966"/>
        </patternFill>
      </fill>
    </dxf>
    <dxf>
      <font>
        <color rgb="FFFFFFFF"/>
      </font>
      <fill>
        <patternFill patternType="solid">
          <fgColor indexed="64"/>
          <bgColor rgb="FFFF7C2A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numFmt numFmtId="19" formatCode="m/d/yy"/>
      <alignment horizontal="center" vertical="top"/>
    </dxf>
    <dxf>
      <alignment vertical="top"/>
    </dxf>
    <dxf>
      <alignment horizontal="center" vertical="top"/>
    </dxf>
    <dxf>
      <numFmt numFmtId="164" formatCode="yyyy\-mm\-dd"/>
      <alignment horizontal="center" vertical="top"/>
    </dxf>
    <dxf>
      <alignment horizontal="center" vertical="top"/>
    </dxf>
    <dxf>
      <alignment horizontal="center" vertical="top"/>
    </dxf>
    <dxf>
      <alignment horizontal="center" vertical="top"/>
    </dxf>
    <dxf>
      <alignment horizontal="center" vertical="top"/>
    </dxf>
    <dxf>
      <alignment horizontal="center" vertical="top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b/>
        <color rgb="FFFFFFFF"/>
      </font>
      <fill>
        <patternFill patternType="solid">
          <fgColor indexed="64"/>
          <bgColor rgb="FF2E5496"/>
        </patternFill>
      </fill>
      <alignment horizontal="center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Open Bugs by Priority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Summary!$D$9:$D$12</c:f>
              <c:strCache>
                <c:ptCount val="4"/>
                <c:pt idx="0">
                  <c:v>P0 - Critical</c:v>
                </c:pt>
                <c:pt idx="1">
                  <c:v>P1 - High</c:v>
                </c:pt>
                <c:pt idx="2">
                  <c:v>P2 - Medium</c:v>
                </c:pt>
                <c:pt idx="3">
                  <c:v>P3 - Low</c:v>
                </c:pt>
              </c:strCache>
            </c:strRef>
          </c:cat>
          <c:val>
            <c:numRef>
              <c:f>Summary!$E$9:$E$12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5-054D-918C-183AE3934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4862976"/>
        <c:axId val="499626688"/>
      </c:barChart>
      <c:catAx>
        <c:axId val="404862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626688"/>
        <c:crosses val="autoZero"/>
        <c:auto val="1"/>
        <c:lblAlgn val="ctr"/>
        <c:lblOffset val="100"/>
        <c:noMultiLvlLbl val="0"/>
      </c:catAx>
      <c:valAx>
        <c:axId val="49962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862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9715D8-3947-6999-F160-8D4494C4D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1014F9-1EA7-254A-8F6C-917B9227797D}" name="BugLog" displayName="BugLog" ref="A3:V6" totalsRowShown="0" headerRowDxfId="37" dataDxfId="30">
  <autoFilter ref="A3:V6" xr:uid="{2B1014F9-1EA7-254A-8F6C-917B9227797D}"/>
  <tableColumns count="22">
    <tableColumn id="1" xr3:uid="{BFAF9A24-34C6-C14C-8875-C37B094621EA}" name="Bug ID" dataDxfId="17"/>
    <tableColumn id="2" xr3:uid="{8B2FA64A-350F-1E43-B286-C5149ABE7E9C}" name="Date Reported" dataDxfId="15"/>
    <tableColumn id="3" xr3:uid="{204F30E2-2826-9B4E-BEFA-86AE7919E053}" name="Reported By" dataDxfId="16"/>
    <tableColumn id="4" xr3:uid="{CE082F92-5C52-5B4F-BFCF-85968CA688B8}" name="Status" dataDxfId="23"/>
    <tableColumn id="5" xr3:uid="{A2AE480E-3880-3340-80C8-645D9AEDE72C}" name="Priority" dataDxfId="22"/>
    <tableColumn id="6" xr3:uid="{6F3499F8-6057-8245-B40C-CBF35180FC29}" name="Severity" dataDxfId="21"/>
    <tableColumn id="7" xr3:uid="{D191F683-2F48-C040-B58A-747ED00C1BAD}" name="Title / Summary" dataDxfId="29"/>
    <tableColumn id="8" xr3:uid="{2BEE87DA-4A3F-B243-92C7-A147BFB21168}" name="Dashboard Section" dataDxfId="36"/>
    <tableColumn id="9" xr3:uid="{B6326103-83FA-0F40-ADC9-8A5A45EA38F5}" name="Bug Category / Type" dataDxfId="35"/>
    <tableColumn id="10" xr3:uid="{3DF57413-2894-3747-9CFF-68BA97D5D3D4}" name="Affected Data Source" dataDxfId="34"/>
    <tableColumn id="11" xr3:uid="{A26FA202-C973-734D-ACE9-0A0E4D303D63}" name="Environment" dataDxfId="20"/>
    <tableColumn id="12" xr3:uid="{3E91FB5D-6787-AD4E-9C3C-3731D94821F3}" name="Browser / Device" dataDxfId="33"/>
    <tableColumn id="13" xr3:uid="{EC03BA96-5C7F-8240-B6AD-9474134C315D}" name="Steps to Reproduce" dataDxfId="28"/>
    <tableColumn id="14" xr3:uid="{7D479125-C176-0643-BD0B-1C9C57487539}" name="Expected Result" dataDxfId="27"/>
    <tableColumn id="15" xr3:uid="{8D84C473-9257-5645-BC3F-61E140CB0B0C}" name="Actual Result" dataDxfId="26"/>
    <tableColumn id="16" xr3:uid="{0667AC5A-E26C-B44D-9F63-C2533756175C}" name="Frequency" dataDxfId="19"/>
    <tableColumn id="17" xr3:uid="{91868B65-6023-8040-B243-FE9096F3CD70}" name="Screenshot / Link" dataDxfId="32"/>
    <tableColumn id="18" xr3:uid="{0B71D39D-6989-B14F-B10C-ECF8A70CC77E}" name="Assigned To" dataDxfId="31"/>
    <tableColumn id="19" xr3:uid="{12688556-2C5A-E140-8051-7D83E3F78C4A}" name="Date Resolved" dataDxfId="18"/>
    <tableColumn id="20" xr3:uid="{DE809CCE-3DCB-034A-8C40-42062C869F93}" name="Days Open" dataDxfId="0">
      <calculatedColumnFormula>IF(BugLog[[#This Row],[Date Reported]]="","",IF(BugLog[[#This Row],[Date Resolved]]="",TODAY()-BugLog[[#This Row],[Date Reported]],BugLog[[#This Row],[Date Resolved]]-BugLog[[#This Row],[Date Reported]]))</calculatedColumnFormula>
    </tableColumn>
    <tableColumn id="21" xr3:uid="{F66F18C0-5174-C344-84AB-56FE96CB76F4}" name="Root Cause" dataDxfId="25"/>
    <tableColumn id="22" xr3:uid="{61B2B76B-346C-7D48-9C19-295B871C4A5B}" name="Resolution / Notes" dataDxfId="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4280881-8BC9-E843-A7EA-BFE2246D1A00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49f887b9-63a7-4f3f-b79a-af0a97b5ccd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728FF-2F28-A144-A05F-3AB7AB1CB29A}">
  <dimension ref="A1:F25"/>
  <sheetViews>
    <sheetView workbookViewId="0">
      <selection sqref="A1:F1"/>
    </sheetView>
  </sheetViews>
  <sheetFormatPr baseColWidth="10" defaultRowHeight="16" x14ac:dyDescent="0.2"/>
  <cols>
    <col min="1" max="1" width="28.33203125" customWidth="1"/>
    <col min="2" max="2" width="11.6640625" customWidth="1"/>
    <col min="3" max="3" width="3.33203125" customWidth="1"/>
    <col min="4" max="4" width="43.33203125" customWidth="1"/>
    <col min="5" max="5" width="11.6640625" customWidth="1"/>
  </cols>
  <sheetData>
    <row r="1" spans="1:6" ht="26" customHeight="1" x14ac:dyDescent="0.25">
      <c r="A1" s="5" t="s">
        <v>93</v>
      </c>
      <c r="B1" s="4"/>
      <c r="C1" s="4"/>
      <c r="D1" s="4"/>
      <c r="E1" s="4"/>
      <c r="F1" s="4"/>
    </row>
    <row r="3" spans="1:6" x14ac:dyDescent="0.2">
      <c r="A3" s="8" t="s">
        <v>94</v>
      </c>
      <c r="B3">
        <f>COUNTA(BugLog[Bug ID])</f>
        <v>1</v>
      </c>
    </row>
    <row r="4" spans="1:6" x14ac:dyDescent="0.2">
      <c r="A4" s="8" t="s">
        <v>95</v>
      </c>
      <c r="B4">
        <f>B3-COUNTIF(BugLog[Status],"Verified / Closed")-COUNTIF(BugLog[Status],"Won't Fix")-COUNTIF(BugLog[Status],"Duplicate")-COUNTIF(BugLog[Status],"Cannot Reproduce")</f>
        <v>1</v>
      </c>
    </row>
    <row r="5" spans="1:6" x14ac:dyDescent="0.2">
      <c r="A5" s="8" t="s">
        <v>96</v>
      </c>
      <c r="B5">
        <f>COUNTIF(BugLog[Status],"Verified / Closed")</f>
        <v>0</v>
      </c>
    </row>
    <row r="6" spans="1:6" x14ac:dyDescent="0.2">
      <c r="A6" s="8" t="s">
        <v>97</v>
      </c>
      <c r="B6">
        <f ca="1">IFERROR(ROUND(AVERAGE(BugLog[Days Open]),0),0)</f>
        <v>0</v>
      </c>
    </row>
    <row r="8" spans="1:6" x14ac:dyDescent="0.2">
      <c r="A8" s="9" t="s">
        <v>98</v>
      </c>
      <c r="B8" s="9" t="s">
        <v>99</v>
      </c>
      <c r="D8" s="9" t="s">
        <v>100</v>
      </c>
      <c r="E8" s="9" t="s">
        <v>99</v>
      </c>
    </row>
    <row r="9" spans="1:6" x14ac:dyDescent="0.2">
      <c r="A9" t="str">
        <f>Lists!A2</f>
        <v>New</v>
      </c>
      <c r="B9">
        <f>COUNTIF(BugLog[Status],A9)</f>
        <v>0</v>
      </c>
      <c r="D9" t="str">
        <f>Lists!B2</f>
        <v>P0 - Critical</v>
      </c>
      <c r="E9">
        <f>COUNTIF(BugLog[Priority],D9)</f>
        <v>0</v>
      </c>
    </row>
    <row r="10" spans="1:6" x14ac:dyDescent="0.2">
      <c r="A10" t="str">
        <f>Lists!A3</f>
        <v>Triaged</v>
      </c>
      <c r="B10">
        <f>COUNTIF(BugLog[Status],A10)</f>
        <v>1</v>
      </c>
      <c r="D10" t="str">
        <f>Lists!B3</f>
        <v>P1 - High</v>
      </c>
      <c r="E10">
        <f>COUNTIF(BugLog[Priority],D10)</f>
        <v>0</v>
      </c>
    </row>
    <row r="11" spans="1:6" x14ac:dyDescent="0.2">
      <c r="A11" t="str">
        <f>Lists!A4</f>
        <v>In Progress</v>
      </c>
      <c r="B11">
        <f>COUNTIF(BugLog[Status],A11)</f>
        <v>0</v>
      </c>
      <c r="D11" t="str">
        <f>Lists!B4</f>
        <v>P2 - Medium</v>
      </c>
      <c r="E11">
        <f>COUNTIF(BugLog[Priority],D11)</f>
        <v>1</v>
      </c>
    </row>
    <row r="12" spans="1:6" x14ac:dyDescent="0.2">
      <c r="A12" t="str">
        <f>Lists!A5</f>
        <v>Blocked</v>
      </c>
      <c r="B12">
        <f>COUNTIF(BugLog[Status],A12)</f>
        <v>0</v>
      </c>
      <c r="D12" t="str">
        <f>Lists!B5</f>
        <v>P3 - Low</v>
      </c>
      <c r="E12">
        <f>COUNTIF(BugLog[Priority],D12)</f>
        <v>0</v>
      </c>
    </row>
    <row r="13" spans="1:6" x14ac:dyDescent="0.2">
      <c r="A13" t="str">
        <f>Lists!A6</f>
        <v>In Review</v>
      </c>
      <c r="B13">
        <f>COUNTIF(BugLog[Status],A13)</f>
        <v>0</v>
      </c>
    </row>
    <row r="14" spans="1:6" x14ac:dyDescent="0.2">
      <c r="A14" t="str">
        <f>Lists!A7</f>
        <v>Fixed - Pending Verification</v>
      </c>
      <c r="B14">
        <f>COUNTIF(BugLog[Status],A14)</f>
        <v>0</v>
      </c>
      <c r="D14" s="9" t="s">
        <v>101</v>
      </c>
      <c r="E14" s="9" t="s">
        <v>99</v>
      </c>
    </row>
    <row r="15" spans="1:6" x14ac:dyDescent="0.2">
      <c r="A15" t="str">
        <f>Lists!A8</f>
        <v>Verified / Closed</v>
      </c>
      <c r="B15">
        <f>COUNTIF(BugLog[Status],A15)</f>
        <v>0</v>
      </c>
      <c r="D15" t="str">
        <f>Lists!D2</f>
        <v>1. Verdict / Headline Score</v>
      </c>
      <c r="E15">
        <f>COUNTIF(BugLog[Dashboard Section],D15)</f>
        <v>0</v>
      </c>
    </row>
    <row r="16" spans="1:6" x14ac:dyDescent="0.2">
      <c r="A16" t="str">
        <f>Lists!A9</f>
        <v>Reopened</v>
      </c>
      <c r="B16">
        <f>COUNTIF(BugLog[Status],A16)</f>
        <v>0</v>
      </c>
      <c r="D16" t="str">
        <f>Lists!D3</f>
        <v>2. KPI Tiles</v>
      </c>
      <c r="E16">
        <f>COUNTIF(BugLog[Dashboard Section],D16)</f>
        <v>0</v>
      </c>
    </row>
    <row r="17" spans="1:5" x14ac:dyDescent="0.2">
      <c r="A17" t="str">
        <f>Lists!A10</f>
        <v>Won't Fix</v>
      </c>
      <c r="B17">
        <f>COUNTIF(BugLog[Status],A17)</f>
        <v>0</v>
      </c>
      <c r="D17" t="str">
        <f>Lists!D4</f>
        <v>3. Seven Pillars</v>
      </c>
      <c r="E17">
        <f>COUNTIF(BugLog[Dashboard Section],D17)</f>
        <v>0</v>
      </c>
    </row>
    <row r="18" spans="1:5" x14ac:dyDescent="0.2">
      <c r="A18" t="str">
        <f>Lists!A11</f>
        <v>Duplicate</v>
      </c>
      <c r="B18">
        <f>COUNTIF(BugLog[Status],A18)</f>
        <v>0</v>
      </c>
      <c r="D18" t="str">
        <f>Lists!D5</f>
        <v>4. Property Mix</v>
      </c>
      <c r="E18">
        <f>COUNTIF(BugLog[Dashboard Section],D18)</f>
        <v>0</v>
      </c>
    </row>
    <row r="19" spans="1:5" x14ac:dyDescent="0.2">
      <c r="A19" t="str">
        <f>Lists!A12</f>
        <v>Cannot Reproduce</v>
      </c>
      <c r="B19">
        <f>COUNTIF(BugLog[Status],A19)</f>
        <v>0</v>
      </c>
      <c r="D19" t="str">
        <f>Lists!D6</f>
        <v>5. 9-Month Trend Charts</v>
      </c>
      <c r="E19">
        <f>COUNTIF(BugLog[Dashboard Section],D19)</f>
        <v>0</v>
      </c>
    </row>
    <row r="20" spans="1:5" x14ac:dyDescent="0.2">
      <c r="D20" t="str">
        <f>Lists!D7</f>
        <v>6. Asking Price Per Sq Ft</v>
      </c>
      <c r="E20">
        <f>COUNTIF(BugLog[Dashboard Section],D20)</f>
        <v>0</v>
      </c>
    </row>
    <row r="21" spans="1:5" x14ac:dyDescent="0.2">
      <c r="D21" t="str">
        <f>Lists!D8</f>
        <v>7. Transaction Volume by Area</v>
      </c>
      <c r="E21">
        <f>COUNTIF(BugLog[Dashboard Section],D21)</f>
        <v>0</v>
      </c>
    </row>
    <row r="22" spans="1:5" x14ac:dyDescent="0.2">
      <c r="D22" t="str">
        <f>Lists!D9</f>
        <v>8. Rental Yield by Property Type</v>
      </c>
      <c r="E22">
        <f>COUNTIF(BugLog[Dashboard Section],D22)</f>
        <v>0</v>
      </c>
    </row>
    <row r="23" spans="1:5" x14ac:dyDescent="0.2">
      <c r="D23" t="str">
        <f>Lists!D10</f>
        <v>9. Recent Sales Transactions</v>
      </c>
      <c r="E23">
        <f>COUNTIF(BugLog[Dashboard Section],D23)</f>
        <v>0</v>
      </c>
    </row>
    <row r="24" spans="1:5" x14ac:dyDescent="0.2">
      <c r="D24" t="str">
        <f>Lists!D12</f>
        <v>Global / Site-wide (header, nav, layout)</v>
      </c>
      <c r="E24">
        <f>COUNTIF(BugLog[Dashboard Section],D24)</f>
        <v>0</v>
      </c>
    </row>
    <row r="25" spans="1:5" x14ac:dyDescent="0.2">
      <c r="D25" t="str">
        <f>Lists!D13</f>
        <v>Data Pipeline / Backend</v>
      </c>
      <c r="E25">
        <f>COUNTIF(BugLog[Dashboard Section],D25)</f>
        <v>0</v>
      </c>
    </row>
  </sheetData>
  <mergeCells count="1">
    <mergeCell ref="A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020DA-D6AF-6D44-A3F1-9575768CDE0F}">
  <dimension ref="A1:V1000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C4" sqref="C4"/>
    </sheetView>
  </sheetViews>
  <sheetFormatPr baseColWidth="10" defaultRowHeight="16" x14ac:dyDescent="0.2"/>
  <cols>
    <col min="1" max="1" width="11.5" bestFit="1" customWidth="1"/>
    <col min="2" max="2" width="18" bestFit="1" customWidth="1"/>
    <col min="3" max="3" width="16" bestFit="1" customWidth="1"/>
    <col min="4" max="4" width="14.33203125" bestFit="1" customWidth="1"/>
    <col min="5" max="5" width="12.1640625" bestFit="1" customWidth="1"/>
    <col min="6" max="6" width="12.6640625" bestFit="1" customWidth="1"/>
    <col min="7" max="7" width="38" bestFit="1" customWidth="1"/>
    <col min="8" max="8" width="22.83203125" bestFit="1" customWidth="1"/>
    <col min="9" max="9" width="24.5" bestFit="1" customWidth="1"/>
    <col min="10" max="10" width="23.83203125" bestFit="1" customWidth="1"/>
    <col min="11" max="11" width="16.5" bestFit="1" customWidth="1"/>
    <col min="12" max="12" width="20" customWidth="1"/>
    <col min="13" max="13" width="43" bestFit="1" customWidth="1"/>
    <col min="14" max="14" width="36.5" bestFit="1" customWidth="1"/>
    <col min="15" max="15" width="34.6640625" bestFit="1" customWidth="1"/>
    <col min="16" max="16" width="14.6640625" bestFit="1" customWidth="1"/>
    <col min="17" max="17" width="20.33203125" bestFit="1" customWidth="1"/>
    <col min="18" max="18" width="16" bestFit="1" customWidth="1"/>
    <col min="19" max="19" width="18" bestFit="1" customWidth="1"/>
    <col min="20" max="20" width="15" bestFit="1" customWidth="1"/>
    <col min="21" max="21" width="31.83203125" bestFit="1" customWidth="1"/>
    <col min="22" max="22" width="37.33203125" bestFit="1" customWidth="1"/>
  </cols>
  <sheetData>
    <row r="1" spans="1:22" s="6" customFormat="1" ht="26" customHeight="1" x14ac:dyDescent="0.2">
      <c r="A1" s="5" t="s">
        <v>73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22" s="6" customFormat="1" x14ac:dyDescent="0.2">
      <c r="A2" s="7" t="s">
        <v>74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 spans="1:22" ht="30" customHeight="1" x14ac:dyDescent="0.2">
      <c r="A3" s="10" t="s">
        <v>75</v>
      </c>
      <c r="B3" s="18" t="s">
        <v>76</v>
      </c>
      <c r="C3" s="10" t="s">
        <v>77</v>
      </c>
      <c r="D3" s="10" t="s">
        <v>0</v>
      </c>
      <c r="E3" s="10" t="s">
        <v>1</v>
      </c>
      <c r="F3" s="10" t="s">
        <v>2</v>
      </c>
      <c r="G3" s="10" t="s">
        <v>78</v>
      </c>
      <c r="H3" s="10" t="s">
        <v>3</v>
      </c>
      <c r="I3" s="10" t="s">
        <v>4</v>
      </c>
      <c r="J3" s="10" t="s">
        <v>5</v>
      </c>
      <c r="K3" s="10" t="s">
        <v>6</v>
      </c>
      <c r="L3" s="10" t="s">
        <v>79</v>
      </c>
      <c r="M3" s="10" t="s">
        <v>80</v>
      </c>
      <c r="N3" s="10" t="s">
        <v>81</v>
      </c>
      <c r="O3" s="10" t="s">
        <v>82</v>
      </c>
      <c r="P3" s="10" t="s">
        <v>7</v>
      </c>
      <c r="Q3" s="10" t="s">
        <v>83</v>
      </c>
      <c r="R3" s="10" t="s">
        <v>84</v>
      </c>
      <c r="S3" s="10" t="s">
        <v>85</v>
      </c>
      <c r="T3" s="10" t="s">
        <v>86</v>
      </c>
      <c r="U3" s="10" t="s">
        <v>87</v>
      </c>
      <c r="V3" s="10" t="s">
        <v>88</v>
      </c>
    </row>
    <row r="4" spans="1:22" ht="102" customHeight="1" x14ac:dyDescent="0.2">
      <c r="A4" s="14" t="s">
        <v>89</v>
      </c>
      <c r="B4" s="20" t="s">
        <v>103</v>
      </c>
      <c r="C4" s="11" t="s">
        <v>102</v>
      </c>
      <c r="D4" s="14" t="s">
        <v>9</v>
      </c>
      <c r="E4" s="14" t="s">
        <v>21</v>
      </c>
      <c r="F4" s="14" t="s">
        <v>25</v>
      </c>
      <c r="G4" s="12" t="s">
        <v>104</v>
      </c>
      <c r="H4" s="11" t="s">
        <v>105</v>
      </c>
      <c r="I4" s="11" t="s">
        <v>39</v>
      </c>
      <c r="J4" s="11" t="s">
        <v>106</v>
      </c>
      <c r="K4" s="14" t="s">
        <v>67</v>
      </c>
      <c r="L4" s="11" t="s">
        <v>90</v>
      </c>
      <c r="M4" s="12" t="s">
        <v>107</v>
      </c>
      <c r="N4" s="12" t="s">
        <v>108</v>
      </c>
      <c r="O4" s="12" t="s">
        <v>109</v>
      </c>
      <c r="P4" s="14" t="s">
        <v>68</v>
      </c>
      <c r="Q4" s="11"/>
      <c r="R4" s="11" t="s">
        <v>91</v>
      </c>
      <c r="S4" s="15"/>
      <c r="T4" s="16" t="e">
        <f ca="1">IF(BugLog[[#This Row],[Date Reported]]="","",IF(BugLog[[#This Row],[Date Resolved]]="",TODAY()-BugLog[[#This Row],[Date Reported]],BugLog[[#This Row],[Date Resolved]]-BugLog[[#This Row],[Date Reported]]))</f>
        <v>#VALUE!</v>
      </c>
      <c r="U4" s="12"/>
      <c r="V4" s="12" t="s">
        <v>92</v>
      </c>
    </row>
    <row r="5" spans="1:22" x14ac:dyDescent="0.2">
      <c r="A5" s="14"/>
      <c r="B5" s="19"/>
      <c r="C5" s="11"/>
      <c r="D5" s="14"/>
      <c r="E5" s="14"/>
      <c r="F5" s="14"/>
      <c r="G5" s="12"/>
      <c r="H5" s="11"/>
      <c r="I5" s="11"/>
      <c r="J5" s="11"/>
      <c r="K5" s="14"/>
      <c r="L5" s="11"/>
      <c r="M5" s="12"/>
      <c r="N5" s="12"/>
      <c r="O5" s="12"/>
      <c r="P5" s="14"/>
      <c r="Q5" s="11"/>
      <c r="R5" s="11"/>
      <c r="S5" s="15"/>
      <c r="T5" s="16" t="str">
        <f ca="1">IF(BugLog[[#This Row],[Date Reported]]="","",IF(BugLog[[#This Row],[Date Resolved]]="",TODAY()-BugLog[[#This Row],[Date Reported]],BugLog[[#This Row],[Date Resolved]]-BugLog[[#This Row],[Date Reported]]))</f>
        <v/>
      </c>
      <c r="U5" s="12"/>
      <c r="V5" s="12"/>
    </row>
    <row r="6" spans="1:22" x14ac:dyDescent="0.2">
      <c r="A6" s="14"/>
      <c r="B6" s="19"/>
      <c r="C6" s="11"/>
      <c r="D6" s="14"/>
      <c r="E6" s="14"/>
      <c r="F6" s="14"/>
      <c r="G6" s="12"/>
      <c r="H6" s="11"/>
      <c r="I6" s="11"/>
      <c r="J6" s="11"/>
      <c r="K6" s="14"/>
      <c r="L6" s="11"/>
      <c r="M6" s="12"/>
      <c r="N6" s="13"/>
      <c r="O6" s="12"/>
      <c r="P6" s="14"/>
      <c r="Q6" s="11"/>
      <c r="R6" s="11"/>
      <c r="S6" s="15"/>
      <c r="T6" s="16" t="str">
        <f ca="1">IF(BugLog[[#This Row],[Date Reported]]="","",IF(BugLog[[#This Row],[Date Resolved]]="",TODAY()-BugLog[[#This Row],[Date Reported]],BugLog[[#This Row],[Date Resolved]]-BugLog[[#This Row],[Date Reported]]))</f>
        <v/>
      </c>
      <c r="U6" s="12"/>
      <c r="V6" s="12"/>
    </row>
    <row r="7" spans="1:22" x14ac:dyDescent="0.2">
      <c r="B7" s="2"/>
      <c r="S7" s="3"/>
      <c r="T7" s="17"/>
    </row>
    <row r="8" spans="1:22" x14ac:dyDescent="0.2">
      <c r="B8" s="2"/>
      <c r="S8" s="3"/>
      <c r="T8" s="17"/>
    </row>
    <row r="9" spans="1:22" x14ac:dyDescent="0.2">
      <c r="B9" s="2"/>
      <c r="S9" s="3"/>
      <c r="T9" s="17"/>
    </row>
    <row r="10" spans="1:22" x14ac:dyDescent="0.2">
      <c r="B10" s="2"/>
      <c r="S10" s="3"/>
      <c r="T10" s="17"/>
    </row>
    <row r="11" spans="1:22" x14ac:dyDescent="0.2">
      <c r="B11" s="2"/>
      <c r="S11" s="3"/>
      <c r="T11" s="17"/>
    </row>
    <row r="12" spans="1:22" x14ac:dyDescent="0.2">
      <c r="B12" s="2"/>
      <c r="S12" s="3"/>
      <c r="T12" s="17"/>
    </row>
    <row r="13" spans="1:22" x14ac:dyDescent="0.2">
      <c r="B13" s="2"/>
      <c r="S13" s="3"/>
      <c r="T13" s="17"/>
    </row>
    <row r="14" spans="1:22" x14ac:dyDescent="0.2">
      <c r="B14" s="2"/>
      <c r="S14" s="3"/>
      <c r="T14" s="17"/>
    </row>
    <row r="15" spans="1:22" x14ac:dyDescent="0.2">
      <c r="B15" s="2"/>
      <c r="S15" s="3"/>
      <c r="T15" s="17"/>
    </row>
    <row r="16" spans="1:22" x14ac:dyDescent="0.2">
      <c r="B16" s="2"/>
      <c r="S16" s="3"/>
      <c r="T16" s="17"/>
    </row>
    <row r="17" spans="2:20" x14ac:dyDescent="0.2">
      <c r="B17" s="2"/>
      <c r="S17" s="3"/>
      <c r="T17" s="17"/>
    </row>
    <row r="18" spans="2:20" x14ac:dyDescent="0.2">
      <c r="B18" s="2"/>
      <c r="S18" s="3"/>
      <c r="T18" s="17"/>
    </row>
    <row r="19" spans="2:20" x14ac:dyDescent="0.2">
      <c r="B19" s="2"/>
      <c r="S19" s="3"/>
      <c r="T19" s="17"/>
    </row>
    <row r="20" spans="2:20" x14ac:dyDescent="0.2">
      <c r="B20" s="2"/>
      <c r="S20" s="3"/>
      <c r="T20" s="17"/>
    </row>
    <row r="21" spans="2:20" x14ac:dyDescent="0.2">
      <c r="B21" s="2"/>
      <c r="S21" s="3"/>
      <c r="T21" s="17"/>
    </row>
    <row r="22" spans="2:20" x14ac:dyDescent="0.2">
      <c r="B22" s="2"/>
      <c r="S22" s="3"/>
      <c r="T22" s="17"/>
    </row>
    <row r="23" spans="2:20" x14ac:dyDescent="0.2">
      <c r="B23" s="2"/>
      <c r="S23" s="3"/>
      <c r="T23" s="17"/>
    </row>
    <row r="24" spans="2:20" x14ac:dyDescent="0.2">
      <c r="B24" s="2"/>
      <c r="S24" s="3"/>
      <c r="T24" s="17"/>
    </row>
    <row r="25" spans="2:20" x14ac:dyDescent="0.2">
      <c r="B25" s="2"/>
      <c r="S25" s="3"/>
      <c r="T25" s="17"/>
    </row>
    <row r="26" spans="2:20" x14ac:dyDescent="0.2">
      <c r="B26" s="3"/>
      <c r="S26" s="3"/>
      <c r="T26" s="17"/>
    </row>
    <row r="27" spans="2:20" x14ac:dyDescent="0.2">
      <c r="B27" s="3"/>
      <c r="S27" s="3"/>
      <c r="T27" s="17"/>
    </row>
    <row r="28" spans="2:20" x14ac:dyDescent="0.2">
      <c r="B28" s="3"/>
      <c r="S28" s="3"/>
      <c r="T28" s="17"/>
    </row>
    <row r="29" spans="2:20" x14ac:dyDescent="0.2">
      <c r="B29" s="3"/>
      <c r="S29" s="3"/>
      <c r="T29" s="17"/>
    </row>
    <row r="30" spans="2:20" x14ac:dyDescent="0.2">
      <c r="B30" s="3"/>
      <c r="S30" s="3"/>
      <c r="T30" s="17"/>
    </row>
    <row r="31" spans="2:20" x14ac:dyDescent="0.2">
      <c r="B31" s="3"/>
      <c r="S31" s="3"/>
      <c r="T31" s="17"/>
    </row>
    <row r="32" spans="2:20" x14ac:dyDescent="0.2">
      <c r="B32" s="3"/>
      <c r="S32" s="3"/>
      <c r="T32" s="17"/>
    </row>
    <row r="33" spans="2:20" x14ac:dyDescent="0.2">
      <c r="B33" s="3"/>
      <c r="S33" s="3"/>
      <c r="T33" s="17"/>
    </row>
    <row r="34" spans="2:20" x14ac:dyDescent="0.2">
      <c r="B34" s="3"/>
      <c r="S34" s="3"/>
      <c r="T34" s="17"/>
    </row>
    <row r="35" spans="2:20" x14ac:dyDescent="0.2">
      <c r="B35" s="3"/>
      <c r="S35" s="3"/>
      <c r="T35" s="17"/>
    </row>
    <row r="36" spans="2:20" x14ac:dyDescent="0.2">
      <c r="B36" s="3"/>
      <c r="S36" s="3"/>
      <c r="T36" s="17"/>
    </row>
    <row r="37" spans="2:20" x14ac:dyDescent="0.2">
      <c r="B37" s="3"/>
      <c r="S37" s="3"/>
      <c r="T37" s="17"/>
    </row>
    <row r="38" spans="2:20" x14ac:dyDescent="0.2">
      <c r="B38" s="3"/>
      <c r="S38" s="3"/>
      <c r="T38" s="17"/>
    </row>
    <row r="39" spans="2:20" x14ac:dyDescent="0.2">
      <c r="B39" s="3"/>
      <c r="S39" s="3"/>
      <c r="T39" s="17"/>
    </row>
    <row r="40" spans="2:20" x14ac:dyDescent="0.2">
      <c r="B40" s="3"/>
      <c r="S40" s="3"/>
      <c r="T40" s="17"/>
    </row>
    <row r="41" spans="2:20" x14ac:dyDescent="0.2">
      <c r="B41" s="3"/>
      <c r="S41" s="3"/>
      <c r="T41" s="17"/>
    </row>
    <row r="42" spans="2:20" x14ac:dyDescent="0.2">
      <c r="B42" s="3"/>
      <c r="S42" s="3"/>
      <c r="T42" s="17"/>
    </row>
    <row r="43" spans="2:20" x14ac:dyDescent="0.2">
      <c r="B43" s="3"/>
      <c r="S43" s="3"/>
      <c r="T43" s="17"/>
    </row>
    <row r="44" spans="2:20" x14ac:dyDescent="0.2">
      <c r="B44" s="3"/>
      <c r="S44" s="3"/>
      <c r="T44" s="17"/>
    </row>
    <row r="45" spans="2:20" x14ac:dyDescent="0.2">
      <c r="B45" s="3"/>
      <c r="S45" s="3"/>
      <c r="T45" s="17"/>
    </row>
    <row r="46" spans="2:20" x14ac:dyDescent="0.2">
      <c r="B46" s="3"/>
      <c r="S46" s="3"/>
      <c r="T46" s="17"/>
    </row>
    <row r="47" spans="2:20" x14ac:dyDescent="0.2">
      <c r="B47" s="3"/>
      <c r="S47" s="3"/>
      <c r="T47" s="17"/>
    </row>
    <row r="48" spans="2:20" x14ac:dyDescent="0.2">
      <c r="B48" s="3"/>
      <c r="S48" s="3"/>
      <c r="T48" s="17"/>
    </row>
    <row r="49" spans="2:20" x14ac:dyDescent="0.2">
      <c r="B49" s="3"/>
      <c r="S49" s="3"/>
      <c r="T49" s="17"/>
    </row>
    <row r="50" spans="2:20" x14ac:dyDescent="0.2">
      <c r="B50" s="3"/>
      <c r="S50" s="3"/>
      <c r="T50" s="17"/>
    </row>
    <row r="51" spans="2:20" x14ac:dyDescent="0.2">
      <c r="B51" s="3"/>
      <c r="S51" s="3"/>
      <c r="T51" s="17"/>
    </row>
    <row r="52" spans="2:20" x14ac:dyDescent="0.2">
      <c r="B52" s="3"/>
      <c r="S52" s="3"/>
      <c r="T52" s="17"/>
    </row>
    <row r="53" spans="2:20" x14ac:dyDescent="0.2">
      <c r="B53" s="3"/>
      <c r="S53" s="3"/>
      <c r="T53" s="17"/>
    </row>
    <row r="54" spans="2:20" x14ac:dyDescent="0.2">
      <c r="B54" s="3"/>
      <c r="S54" s="3"/>
      <c r="T54" s="17"/>
    </row>
    <row r="55" spans="2:20" x14ac:dyDescent="0.2">
      <c r="B55" s="3"/>
      <c r="S55" s="3"/>
      <c r="T55" s="17"/>
    </row>
    <row r="56" spans="2:20" x14ac:dyDescent="0.2">
      <c r="B56" s="3"/>
      <c r="S56" s="3"/>
      <c r="T56" s="17"/>
    </row>
    <row r="57" spans="2:20" x14ac:dyDescent="0.2">
      <c r="B57" s="3"/>
      <c r="S57" s="3"/>
      <c r="T57" s="17"/>
    </row>
    <row r="58" spans="2:20" x14ac:dyDescent="0.2">
      <c r="B58" s="3"/>
      <c r="S58" s="3"/>
      <c r="T58" s="17"/>
    </row>
    <row r="59" spans="2:20" x14ac:dyDescent="0.2">
      <c r="B59" s="3"/>
      <c r="S59" s="3"/>
      <c r="T59" s="17"/>
    </row>
    <row r="60" spans="2:20" x14ac:dyDescent="0.2">
      <c r="B60" s="3"/>
      <c r="S60" s="3"/>
      <c r="T60" s="17"/>
    </row>
    <row r="61" spans="2:20" x14ac:dyDescent="0.2">
      <c r="B61" s="3"/>
      <c r="S61" s="3"/>
      <c r="T61" s="17"/>
    </row>
    <row r="62" spans="2:20" x14ac:dyDescent="0.2">
      <c r="B62" s="3"/>
      <c r="S62" s="3"/>
      <c r="T62" s="17"/>
    </row>
    <row r="63" spans="2:20" x14ac:dyDescent="0.2">
      <c r="B63" s="3"/>
      <c r="S63" s="3"/>
      <c r="T63" s="17"/>
    </row>
    <row r="64" spans="2:20" x14ac:dyDescent="0.2">
      <c r="B64" s="3"/>
      <c r="S64" s="3"/>
      <c r="T64" s="17"/>
    </row>
    <row r="65" spans="2:20" x14ac:dyDescent="0.2">
      <c r="B65" s="3"/>
      <c r="S65" s="3"/>
      <c r="T65" s="17"/>
    </row>
    <row r="66" spans="2:20" x14ac:dyDescent="0.2">
      <c r="B66" s="3"/>
      <c r="S66" s="3"/>
      <c r="T66" s="17"/>
    </row>
    <row r="67" spans="2:20" x14ac:dyDescent="0.2">
      <c r="B67" s="3"/>
      <c r="S67" s="3"/>
      <c r="T67" s="17"/>
    </row>
    <row r="68" spans="2:20" x14ac:dyDescent="0.2">
      <c r="B68" s="3"/>
      <c r="S68" s="3"/>
      <c r="T68" s="17"/>
    </row>
    <row r="69" spans="2:20" x14ac:dyDescent="0.2">
      <c r="B69" s="3"/>
      <c r="S69" s="3"/>
      <c r="T69" s="17"/>
    </row>
    <row r="70" spans="2:20" x14ac:dyDescent="0.2">
      <c r="B70" s="3"/>
      <c r="S70" s="3"/>
      <c r="T70" s="17"/>
    </row>
    <row r="71" spans="2:20" x14ac:dyDescent="0.2">
      <c r="B71" s="3"/>
      <c r="S71" s="3"/>
      <c r="T71" s="17"/>
    </row>
    <row r="72" spans="2:20" x14ac:dyDescent="0.2">
      <c r="B72" s="3"/>
      <c r="S72" s="3"/>
      <c r="T72" s="17"/>
    </row>
    <row r="73" spans="2:20" x14ac:dyDescent="0.2">
      <c r="B73" s="3"/>
      <c r="S73" s="3"/>
      <c r="T73" s="17"/>
    </row>
    <row r="74" spans="2:20" x14ac:dyDescent="0.2">
      <c r="B74" s="3"/>
      <c r="S74" s="3"/>
      <c r="T74" s="17"/>
    </row>
    <row r="75" spans="2:20" x14ac:dyDescent="0.2">
      <c r="B75" s="3"/>
      <c r="S75" s="3"/>
      <c r="T75" s="17"/>
    </row>
    <row r="76" spans="2:20" x14ac:dyDescent="0.2">
      <c r="B76" s="3"/>
      <c r="S76" s="3"/>
      <c r="T76" s="17"/>
    </row>
    <row r="77" spans="2:20" x14ac:dyDescent="0.2">
      <c r="B77" s="3"/>
      <c r="S77" s="3"/>
      <c r="T77" s="17"/>
    </row>
    <row r="78" spans="2:20" x14ac:dyDescent="0.2">
      <c r="B78" s="3"/>
      <c r="S78" s="3"/>
      <c r="T78" s="17"/>
    </row>
    <row r="79" spans="2:20" x14ac:dyDescent="0.2">
      <c r="B79" s="3"/>
      <c r="S79" s="3"/>
      <c r="T79" s="17"/>
    </row>
    <row r="80" spans="2:20" x14ac:dyDescent="0.2">
      <c r="B80" s="3"/>
      <c r="S80" s="3"/>
      <c r="T80" s="17"/>
    </row>
    <row r="81" spans="2:20" x14ac:dyDescent="0.2">
      <c r="B81" s="3"/>
      <c r="S81" s="3"/>
      <c r="T81" s="17"/>
    </row>
    <row r="82" spans="2:20" x14ac:dyDescent="0.2">
      <c r="B82" s="3"/>
      <c r="S82" s="3"/>
      <c r="T82" s="17"/>
    </row>
    <row r="83" spans="2:20" x14ac:dyDescent="0.2">
      <c r="B83" s="3"/>
      <c r="S83" s="3"/>
      <c r="T83" s="17"/>
    </row>
    <row r="84" spans="2:20" x14ac:dyDescent="0.2">
      <c r="B84" s="3"/>
      <c r="S84" s="3"/>
      <c r="T84" s="17"/>
    </row>
    <row r="85" spans="2:20" x14ac:dyDescent="0.2">
      <c r="B85" s="3"/>
      <c r="S85" s="3"/>
      <c r="T85" s="17"/>
    </row>
    <row r="86" spans="2:20" x14ac:dyDescent="0.2">
      <c r="B86" s="3"/>
      <c r="S86" s="3"/>
      <c r="T86" s="17"/>
    </row>
    <row r="87" spans="2:20" x14ac:dyDescent="0.2">
      <c r="B87" s="3"/>
      <c r="S87" s="3"/>
      <c r="T87" s="17"/>
    </row>
    <row r="88" spans="2:20" x14ac:dyDescent="0.2">
      <c r="B88" s="3"/>
      <c r="S88" s="3"/>
      <c r="T88" s="17"/>
    </row>
    <row r="89" spans="2:20" x14ac:dyDescent="0.2">
      <c r="B89" s="3"/>
      <c r="S89" s="3"/>
      <c r="T89" s="17"/>
    </row>
    <row r="90" spans="2:20" x14ac:dyDescent="0.2">
      <c r="B90" s="3"/>
      <c r="S90" s="3"/>
      <c r="T90" s="17"/>
    </row>
    <row r="91" spans="2:20" x14ac:dyDescent="0.2">
      <c r="B91" s="3"/>
      <c r="S91" s="3"/>
      <c r="T91" s="17"/>
    </row>
    <row r="92" spans="2:20" x14ac:dyDescent="0.2">
      <c r="B92" s="3"/>
      <c r="S92" s="3"/>
      <c r="T92" s="17"/>
    </row>
    <row r="93" spans="2:20" x14ac:dyDescent="0.2">
      <c r="B93" s="3"/>
      <c r="S93" s="3"/>
      <c r="T93" s="17"/>
    </row>
    <row r="94" spans="2:20" x14ac:dyDescent="0.2">
      <c r="B94" s="3"/>
      <c r="S94" s="3"/>
      <c r="T94" s="17"/>
    </row>
    <row r="95" spans="2:20" x14ac:dyDescent="0.2">
      <c r="B95" s="3"/>
      <c r="S95" s="3"/>
      <c r="T95" s="17"/>
    </row>
    <row r="96" spans="2:20" x14ac:dyDescent="0.2">
      <c r="B96" s="3"/>
      <c r="S96" s="3"/>
      <c r="T96" s="17"/>
    </row>
    <row r="97" spans="2:20" x14ac:dyDescent="0.2">
      <c r="B97" s="3"/>
      <c r="S97" s="3"/>
      <c r="T97" s="17"/>
    </row>
    <row r="98" spans="2:20" x14ac:dyDescent="0.2">
      <c r="B98" s="3"/>
      <c r="S98" s="3"/>
      <c r="T98" s="17"/>
    </row>
    <row r="99" spans="2:20" x14ac:dyDescent="0.2">
      <c r="B99" s="3"/>
      <c r="S99" s="3"/>
      <c r="T99" s="17"/>
    </row>
    <row r="100" spans="2:20" x14ac:dyDescent="0.2">
      <c r="B100" s="3"/>
      <c r="S100" s="3"/>
      <c r="T100" s="17"/>
    </row>
    <row r="101" spans="2:20" x14ac:dyDescent="0.2">
      <c r="B101" s="3"/>
      <c r="S101" s="3"/>
      <c r="T101" s="17"/>
    </row>
    <row r="102" spans="2:20" x14ac:dyDescent="0.2">
      <c r="B102" s="3"/>
      <c r="S102" s="3"/>
      <c r="T102" s="17"/>
    </row>
    <row r="103" spans="2:20" x14ac:dyDescent="0.2">
      <c r="B103" s="3"/>
      <c r="S103" s="3"/>
      <c r="T103" s="17"/>
    </row>
    <row r="104" spans="2:20" x14ac:dyDescent="0.2">
      <c r="B104" s="3"/>
      <c r="S104" s="3"/>
      <c r="T104" s="17"/>
    </row>
    <row r="105" spans="2:20" x14ac:dyDescent="0.2">
      <c r="B105" s="3"/>
      <c r="S105" s="3"/>
      <c r="T105" s="17"/>
    </row>
    <row r="106" spans="2:20" x14ac:dyDescent="0.2">
      <c r="B106" s="3"/>
      <c r="S106" s="3"/>
      <c r="T106" s="17"/>
    </row>
    <row r="107" spans="2:20" x14ac:dyDescent="0.2">
      <c r="B107" s="3"/>
      <c r="S107" s="3"/>
      <c r="T107" s="17"/>
    </row>
    <row r="108" spans="2:20" x14ac:dyDescent="0.2">
      <c r="B108" s="3"/>
      <c r="S108" s="3"/>
      <c r="T108" s="17"/>
    </row>
    <row r="109" spans="2:20" x14ac:dyDescent="0.2">
      <c r="B109" s="3"/>
      <c r="S109" s="3"/>
      <c r="T109" s="17"/>
    </row>
    <row r="110" spans="2:20" x14ac:dyDescent="0.2">
      <c r="B110" s="3"/>
      <c r="S110" s="3"/>
      <c r="T110" s="17"/>
    </row>
    <row r="111" spans="2:20" x14ac:dyDescent="0.2">
      <c r="B111" s="3"/>
      <c r="S111" s="3"/>
      <c r="T111" s="17"/>
    </row>
    <row r="112" spans="2:20" x14ac:dyDescent="0.2">
      <c r="B112" s="3"/>
      <c r="S112" s="3"/>
      <c r="T112" s="17"/>
    </row>
    <row r="113" spans="2:20" x14ac:dyDescent="0.2">
      <c r="B113" s="3"/>
      <c r="S113" s="3"/>
      <c r="T113" s="17"/>
    </row>
    <row r="114" spans="2:20" x14ac:dyDescent="0.2">
      <c r="B114" s="3"/>
      <c r="S114" s="3"/>
      <c r="T114" s="17"/>
    </row>
    <row r="115" spans="2:20" x14ac:dyDescent="0.2">
      <c r="B115" s="3"/>
      <c r="S115" s="3"/>
      <c r="T115" s="17"/>
    </row>
    <row r="116" spans="2:20" x14ac:dyDescent="0.2">
      <c r="B116" s="3"/>
      <c r="S116" s="3"/>
      <c r="T116" s="17"/>
    </row>
    <row r="117" spans="2:20" x14ac:dyDescent="0.2">
      <c r="B117" s="3"/>
      <c r="S117" s="3"/>
      <c r="T117" s="17"/>
    </row>
    <row r="118" spans="2:20" x14ac:dyDescent="0.2">
      <c r="B118" s="3"/>
      <c r="S118" s="3"/>
      <c r="T118" s="17"/>
    </row>
    <row r="119" spans="2:20" x14ac:dyDescent="0.2">
      <c r="B119" s="3"/>
      <c r="S119" s="3"/>
      <c r="T119" s="17"/>
    </row>
    <row r="120" spans="2:20" x14ac:dyDescent="0.2">
      <c r="B120" s="3"/>
      <c r="S120" s="3"/>
      <c r="T120" s="17"/>
    </row>
    <row r="121" spans="2:20" x14ac:dyDescent="0.2">
      <c r="B121" s="3"/>
      <c r="S121" s="3"/>
      <c r="T121" s="17"/>
    </row>
    <row r="122" spans="2:20" x14ac:dyDescent="0.2">
      <c r="B122" s="3"/>
      <c r="S122" s="3"/>
      <c r="T122" s="17"/>
    </row>
    <row r="123" spans="2:20" x14ac:dyDescent="0.2">
      <c r="B123" s="3"/>
      <c r="S123" s="3"/>
      <c r="T123" s="17"/>
    </row>
    <row r="124" spans="2:20" x14ac:dyDescent="0.2">
      <c r="B124" s="3"/>
      <c r="S124" s="3"/>
      <c r="T124" s="17"/>
    </row>
    <row r="125" spans="2:20" x14ac:dyDescent="0.2">
      <c r="B125" s="3"/>
      <c r="S125" s="3"/>
      <c r="T125" s="17"/>
    </row>
    <row r="126" spans="2:20" x14ac:dyDescent="0.2">
      <c r="B126" s="3"/>
      <c r="S126" s="3"/>
      <c r="T126" s="17"/>
    </row>
    <row r="127" spans="2:20" x14ac:dyDescent="0.2">
      <c r="B127" s="3"/>
      <c r="S127" s="3"/>
      <c r="T127" s="17"/>
    </row>
    <row r="128" spans="2:20" x14ac:dyDescent="0.2">
      <c r="B128" s="3"/>
      <c r="S128" s="3"/>
      <c r="T128" s="17"/>
    </row>
    <row r="129" spans="2:20" x14ac:dyDescent="0.2">
      <c r="B129" s="3"/>
      <c r="S129" s="3"/>
      <c r="T129" s="17"/>
    </row>
    <row r="130" spans="2:20" x14ac:dyDescent="0.2">
      <c r="B130" s="3"/>
      <c r="S130" s="3"/>
      <c r="T130" s="17"/>
    </row>
    <row r="131" spans="2:20" x14ac:dyDescent="0.2">
      <c r="B131" s="3"/>
      <c r="S131" s="3"/>
      <c r="T131" s="17"/>
    </row>
    <row r="132" spans="2:20" x14ac:dyDescent="0.2">
      <c r="B132" s="3"/>
      <c r="S132" s="3"/>
      <c r="T132" s="17"/>
    </row>
    <row r="133" spans="2:20" x14ac:dyDescent="0.2">
      <c r="B133" s="3"/>
      <c r="S133" s="3"/>
      <c r="T133" s="17"/>
    </row>
    <row r="134" spans="2:20" x14ac:dyDescent="0.2">
      <c r="B134" s="3"/>
      <c r="S134" s="3"/>
      <c r="T134" s="17"/>
    </row>
    <row r="135" spans="2:20" x14ac:dyDescent="0.2">
      <c r="B135" s="3"/>
      <c r="S135" s="3"/>
      <c r="T135" s="17"/>
    </row>
    <row r="136" spans="2:20" x14ac:dyDescent="0.2">
      <c r="B136" s="3"/>
      <c r="S136" s="3"/>
      <c r="T136" s="17"/>
    </row>
    <row r="137" spans="2:20" x14ac:dyDescent="0.2">
      <c r="B137" s="3"/>
      <c r="S137" s="3"/>
      <c r="T137" s="17"/>
    </row>
    <row r="138" spans="2:20" x14ac:dyDescent="0.2">
      <c r="B138" s="3"/>
      <c r="S138" s="3"/>
      <c r="T138" s="17"/>
    </row>
    <row r="139" spans="2:20" x14ac:dyDescent="0.2">
      <c r="B139" s="3"/>
      <c r="S139" s="3"/>
      <c r="T139" s="17"/>
    </row>
    <row r="140" spans="2:20" x14ac:dyDescent="0.2">
      <c r="B140" s="3"/>
      <c r="S140" s="3"/>
      <c r="T140" s="17"/>
    </row>
    <row r="141" spans="2:20" x14ac:dyDescent="0.2">
      <c r="B141" s="3"/>
      <c r="S141" s="3"/>
      <c r="T141" s="17"/>
    </row>
    <row r="142" spans="2:20" x14ac:dyDescent="0.2">
      <c r="B142" s="3"/>
      <c r="S142" s="3"/>
      <c r="T142" s="17"/>
    </row>
    <row r="143" spans="2:20" x14ac:dyDescent="0.2">
      <c r="B143" s="3"/>
      <c r="S143" s="3"/>
      <c r="T143" s="17"/>
    </row>
    <row r="144" spans="2:20" x14ac:dyDescent="0.2">
      <c r="B144" s="3"/>
      <c r="S144" s="3"/>
      <c r="T144" s="17"/>
    </row>
    <row r="145" spans="2:20" x14ac:dyDescent="0.2">
      <c r="B145" s="3"/>
      <c r="S145" s="3"/>
      <c r="T145" s="17"/>
    </row>
    <row r="146" spans="2:20" x14ac:dyDescent="0.2">
      <c r="B146" s="3"/>
      <c r="S146" s="3"/>
      <c r="T146" s="17"/>
    </row>
    <row r="147" spans="2:20" x14ac:dyDescent="0.2">
      <c r="B147" s="3"/>
      <c r="S147" s="3"/>
      <c r="T147" s="17"/>
    </row>
    <row r="148" spans="2:20" x14ac:dyDescent="0.2">
      <c r="B148" s="3"/>
      <c r="S148" s="3"/>
      <c r="T148" s="17"/>
    </row>
    <row r="149" spans="2:20" x14ac:dyDescent="0.2">
      <c r="B149" s="3"/>
      <c r="S149" s="3"/>
      <c r="T149" s="17"/>
    </row>
    <row r="150" spans="2:20" x14ac:dyDescent="0.2">
      <c r="B150" s="3"/>
      <c r="S150" s="3"/>
      <c r="T150" s="17"/>
    </row>
    <row r="151" spans="2:20" x14ac:dyDescent="0.2">
      <c r="B151" s="3"/>
      <c r="S151" s="3"/>
      <c r="T151" s="17"/>
    </row>
    <row r="152" spans="2:20" x14ac:dyDescent="0.2">
      <c r="B152" s="3"/>
      <c r="S152" s="3"/>
      <c r="T152" s="17"/>
    </row>
    <row r="153" spans="2:20" x14ac:dyDescent="0.2">
      <c r="B153" s="3"/>
      <c r="S153" s="3"/>
      <c r="T153" s="17"/>
    </row>
    <row r="154" spans="2:20" x14ac:dyDescent="0.2">
      <c r="B154" s="3"/>
      <c r="S154" s="3"/>
      <c r="T154" s="17"/>
    </row>
    <row r="155" spans="2:20" x14ac:dyDescent="0.2">
      <c r="B155" s="3"/>
      <c r="S155" s="3"/>
      <c r="T155" s="17"/>
    </row>
    <row r="156" spans="2:20" x14ac:dyDescent="0.2">
      <c r="B156" s="3"/>
      <c r="S156" s="3"/>
      <c r="T156" s="17"/>
    </row>
    <row r="157" spans="2:20" x14ac:dyDescent="0.2">
      <c r="B157" s="3"/>
      <c r="S157" s="3"/>
      <c r="T157" s="17"/>
    </row>
    <row r="158" spans="2:20" x14ac:dyDescent="0.2">
      <c r="B158" s="3"/>
      <c r="S158" s="3"/>
      <c r="T158" s="17"/>
    </row>
    <row r="159" spans="2:20" x14ac:dyDescent="0.2">
      <c r="B159" s="3"/>
      <c r="S159" s="3"/>
      <c r="T159" s="17"/>
    </row>
    <row r="160" spans="2:20" x14ac:dyDescent="0.2">
      <c r="B160" s="3"/>
      <c r="S160" s="3"/>
      <c r="T160" s="17"/>
    </row>
    <row r="161" spans="2:20" x14ac:dyDescent="0.2">
      <c r="B161" s="3"/>
      <c r="S161" s="3"/>
      <c r="T161" s="17"/>
    </row>
    <row r="162" spans="2:20" x14ac:dyDescent="0.2">
      <c r="B162" s="3"/>
      <c r="S162" s="3"/>
      <c r="T162" s="17"/>
    </row>
    <row r="163" spans="2:20" x14ac:dyDescent="0.2">
      <c r="B163" s="3"/>
      <c r="S163" s="3"/>
      <c r="T163" s="17"/>
    </row>
    <row r="164" spans="2:20" x14ac:dyDescent="0.2">
      <c r="B164" s="3"/>
      <c r="S164" s="3"/>
      <c r="T164" s="17"/>
    </row>
    <row r="165" spans="2:20" x14ac:dyDescent="0.2">
      <c r="B165" s="3"/>
      <c r="S165" s="3"/>
      <c r="T165" s="17"/>
    </row>
    <row r="166" spans="2:20" x14ac:dyDescent="0.2">
      <c r="B166" s="3"/>
      <c r="S166" s="3"/>
      <c r="T166" s="17"/>
    </row>
    <row r="167" spans="2:20" x14ac:dyDescent="0.2">
      <c r="B167" s="3"/>
      <c r="S167" s="3"/>
      <c r="T167" s="17"/>
    </row>
    <row r="168" spans="2:20" x14ac:dyDescent="0.2">
      <c r="B168" s="3"/>
      <c r="S168" s="3"/>
      <c r="T168" s="17"/>
    </row>
    <row r="169" spans="2:20" x14ac:dyDescent="0.2">
      <c r="B169" s="3"/>
      <c r="S169" s="3"/>
      <c r="T169" s="17"/>
    </row>
    <row r="170" spans="2:20" x14ac:dyDescent="0.2">
      <c r="B170" s="3"/>
      <c r="S170" s="3"/>
      <c r="T170" s="17"/>
    </row>
    <row r="171" spans="2:20" x14ac:dyDescent="0.2">
      <c r="B171" s="3"/>
      <c r="S171" s="3"/>
      <c r="T171" s="17"/>
    </row>
    <row r="172" spans="2:20" x14ac:dyDescent="0.2">
      <c r="B172" s="3"/>
      <c r="S172" s="3"/>
      <c r="T172" s="17"/>
    </row>
    <row r="173" spans="2:20" x14ac:dyDescent="0.2">
      <c r="B173" s="3"/>
      <c r="S173" s="3"/>
      <c r="T173" s="17"/>
    </row>
    <row r="174" spans="2:20" x14ac:dyDescent="0.2">
      <c r="B174" s="3"/>
      <c r="S174" s="3"/>
      <c r="T174" s="17"/>
    </row>
    <row r="175" spans="2:20" x14ac:dyDescent="0.2">
      <c r="B175" s="3"/>
      <c r="S175" s="3"/>
      <c r="T175" s="17"/>
    </row>
    <row r="176" spans="2:20" x14ac:dyDescent="0.2">
      <c r="B176" s="3"/>
      <c r="S176" s="3"/>
      <c r="T176" s="17"/>
    </row>
    <row r="177" spans="2:20" x14ac:dyDescent="0.2">
      <c r="B177" s="3"/>
      <c r="S177" s="3"/>
      <c r="T177" s="17"/>
    </row>
    <row r="178" spans="2:20" x14ac:dyDescent="0.2">
      <c r="B178" s="3"/>
      <c r="S178" s="3"/>
      <c r="T178" s="17"/>
    </row>
    <row r="179" spans="2:20" x14ac:dyDescent="0.2">
      <c r="B179" s="3"/>
      <c r="S179" s="3"/>
      <c r="T179" s="17"/>
    </row>
    <row r="180" spans="2:20" x14ac:dyDescent="0.2">
      <c r="B180" s="3"/>
      <c r="S180" s="3"/>
      <c r="T180" s="17"/>
    </row>
    <row r="181" spans="2:20" x14ac:dyDescent="0.2">
      <c r="B181" s="3"/>
      <c r="S181" s="3"/>
      <c r="T181" s="17"/>
    </row>
    <row r="182" spans="2:20" x14ac:dyDescent="0.2">
      <c r="B182" s="3"/>
      <c r="S182" s="3"/>
      <c r="T182" s="17"/>
    </row>
    <row r="183" spans="2:20" x14ac:dyDescent="0.2">
      <c r="B183" s="3"/>
      <c r="S183" s="3"/>
      <c r="T183" s="17"/>
    </row>
    <row r="184" spans="2:20" x14ac:dyDescent="0.2">
      <c r="B184" s="3"/>
      <c r="S184" s="3"/>
      <c r="T184" s="17"/>
    </row>
    <row r="185" spans="2:20" x14ac:dyDescent="0.2">
      <c r="B185" s="3"/>
      <c r="S185" s="3"/>
      <c r="T185" s="17"/>
    </row>
    <row r="186" spans="2:20" x14ac:dyDescent="0.2">
      <c r="B186" s="3"/>
      <c r="S186" s="3"/>
      <c r="T186" s="17"/>
    </row>
    <row r="187" spans="2:20" x14ac:dyDescent="0.2">
      <c r="B187" s="3"/>
      <c r="S187" s="3"/>
      <c r="T187" s="17"/>
    </row>
    <row r="188" spans="2:20" x14ac:dyDescent="0.2">
      <c r="B188" s="3"/>
      <c r="S188" s="3"/>
      <c r="T188" s="17"/>
    </row>
    <row r="189" spans="2:20" x14ac:dyDescent="0.2">
      <c r="B189" s="3"/>
      <c r="S189" s="3"/>
      <c r="T189" s="17"/>
    </row>
    <row r="190" spans="2:20" x14ac:dyDescent="0.2">
      <c r="B190" s="3"/>
      <c r="S190" s="3"/>
      <c r="T190" s="17"/>
    </row>
    <row r="191" spans="2:20" x14ac:dyDescent="0.2">
      <c r="B191" s="3"/>
      <c r="S191" s="3"/>
      <c r="T191" s="17"/>
    </row>
    <row r="192" spans="2:20" x14ac:dyDescent="0.2">
      <c r="B192" s="3"/>
      <c r="S192" s="3"/>
      <c r="T192" s="17"/>
    </row>
    <row r="193" spans="2:20" x14ac:dyDescent="0.2">
      <c r="B193" s="3"/>
      <c r="S193" s="3"/>
      <c r="T193" s="17"/>
    </row>
    <row r="194" spans="2:20" x14ac:dyDescent="0.2">
      <c r="B194" s="3"/>
      <c r="S194" s="3"/>
      <c r="T194" s="17"/>
    </row>
    <row r="195" spans="2:20" x14ac:dyDescent="0.2">
      <c r="B195" s="3"/>
      <c r="S195" s="3"/>
      <c r="T195" s="17"/>
    </row>
    <row r="196" spans="2:20" x14ac:dyDescent="0.2">
      <c r="B196" s="3"/>
      <c r="S196" s="3"/>
      <c r="T196" s="17"/>
    </row>
    <row r="197" spans="2:20" x14ac:dyDescent="0.2">
      <c r="B197" s="3"/>
      <c r="S197" s="3"/>
      <c r="T197" s="17"/>
    </row>
    <row r="198" spans="2:20" x14ac:dyDescent="0.2">
      <c r="B198" s="3"/>
      <c r="S198" s="3"/>
      <c r="T198" s="17"/>
    </row>
    <row r="199" spans="2:20" x14ac:dyDescent="0.2">
      <c r="B199" s="3"/>
      <c r="S199" s="3"/>
      <c r="T199" s="17"/>
    </row>
    <row r="200" spans="2:20" x14ac:dyDescent="0.2">
      <c r="B200" s="3"/>
      <c r="S200" s="3"/>
      <c r="T200" s="17"/>
    </row>
    <row r="201" spans="2:20" x14ac:dyDescent="0.2">
      <c r="B201" s="3"/>
      <c r="S201" s="3"/>
      <c r="T201" s="17"/>
    </row>
    <row r="202" spans="2:20" x14ac:dyDescent="0.2">
      <c r="B202" s="3"/>
      <c r="S202" s="3"/>
      <c r="T202" s="17"/>
    </row>
    <row r="203" spans="2:20" x14ac:dyDescent="0.2">
      <c r="B203" s="3"/>
      <c r="S203" s="3"/>
      <c r="T203" s="17"/>
    </row>
    <row r="204" spans="2:20" x14ac:dyDescent="0.2">
      <c r="B204" s="3"/>
      <c r="S204" s="3"/>
      <c r="T204" s="17"/>
    </row>
    <row r="205" spans="2:20" x14ac:dyDescent="0.2">
      <c r="B205" s="3"/>
      <c r="S205" s="3"/>
      <c r="T205" s="17"/>
    </row>
    <row r="206" spans="2:20" x14ac:dyDescent="0.2">
      <c r="B206" s="3"/>
      <c r="S206" s="3"/>
      <c r="T206" s="17"/>
    </row>
    <row r="207" spans="2:20" x14ac:dyDescent="0.2">
      <c r="B207" s="3"/>
      <c r="S207" s="3"/>
      <c r="T207" s="17"/>
    </row>
    <row r="208" spans="2:20" x14ac:dyDescent="0.2">
      <c r="B208" s="3"/>
      <c r="S208" s="3"/>
      <c r="T208" s="17"/>
    </row>
    <row r="209" spans="2:20" x14ac:dyDescent="0.2">
      <c r="B209" s="3"/>
      <c r="S209" s="3"/>
      <c r="T209" s="17"/>
    </row>
    <row r="210" spans="2:20" x14ac:dyDescent="0.2">
      <c r="B210" s="3"/>
      <c r="S210" s="3"/>
      <c r="T210" s="17"/>
    </row>
    <row r="211" spans="2:20" x14ac:dyDescent="0.2">
      <c r="B211" s="3"/>
      <c r="S211" s="3"/>
      <c r="T211" s="17"/>
    </row>
    <row r="212" spans="2:20" x14ac:dyDescent="0.2">
      <c r="B212" s="3"/>
      <c r="S212" s="3"/>
      <c r="T212" s="17"/>
    </row>
    <row r="213" spans="2:20" x14ac:dyDescent="0.2">
      <c r="B213" s="3"/>
      <c r="S213" s="3"/>
      <c r="T213" s="17"/>
    </row>
    <row r="214" spans="2:20" x14ac:dyDescent="0.2">
      <c r="B214" s="3"/>
      <c r="S214" s="3"/>
      <c r="T214" s="17"/>
    </row>
    <row r="215" spans="2:20" x14ac:dyDescent="0.2">
      <c r="B215" s="3"/>
      <c r="S215" s="3"/>
      <c r="T215" s="17"/>
    </row>
    <row r="216" spans="2:20" x14ac:dyDescent="0.2">
      <c r="B216" s="3"/>
      <c r="S216" s="3"/>
      <c r="T216" s="17"/>
    </row>
    <row r="217" spans="2:20" x14ac:dyDescent="0.2">
      <c r="B217" s="3"/>
      <c r="S217" s="3"/>
      <c r="T217" s="17"/>
    </row>
    <row r="218" spans="2:20" x14ac:dyDescent="0.2">
      <c r="B218" s="3"/>
      <c r="S218" s="3"/>
      <c r="T218" s="17"/>
    </row>
    <row r="219" spans="2:20" x14ac:dyDescent="0.2">
      <c r="B219" s="3"/>
      <c r="S219" s="3"/>
      <c r="T219" s="17"/>
    </row>
    <row r="220" spans="2:20" x14ac:dyDescent="0.2">
      <c r="B220" s="3"/>
      <c r="S220" s="3"/>
      <c r="T220" s="17"/>
    </row>
    <row r="221" spans="2:20" x14ac:dyDescent="0.2">
      <c r="B221" s="3"/>
      <c r="S221" s="3"/>
      <c r="T221" s="17"/>
    </row>
    <row r="222" spans="2:20" x14ac:dyDescent="0.2">
      <c r="B222" s="3"/>
      <c r="S222" s="3"/>
      <c r="T222" s="17"/>
    </row>
    <row r="223" spans="2:20" x14ac:dyDescent="0.2">
      <c r="B223" s="3"/>
      <c r="S223" s="3"/>
      <c r="T223" s="17"/>
    </row>
    <row r="224" spans="2:20" x14ac:dyDescent="0.2">
      <c r="B224" s="3"/>
      <c r="S224" s="3"/>
      <c r="T224" s="17"/>
    </row>
    <row r="225" spans="2:20" x14ac:dyDescent="0.2">
      <c r="B225" s="3"/>
      <c r="S225" s="3"/>
      <c r="T225" s="17"/>
    </row>
    <row r="226" spans="2:20" x14ac:dyDescent="0.2">
      <c r="B226" s="3"/>
      <c r="S226" s="3"/>
      <c r="T226" s="17"/>
    </row>
    <row r="227" spans="2:20" x14ac:dyDescent="0.2">
      <c r="B227" s="3"/>
      <c r="S227" s="3"/>
      <c r="T227" s="17"/>
    </row>
    <row r="228" spans="2:20" x14ac:dyDescent="0.2">
      <c r="B228" s="3"/>
      <c r="S228" s="3"/>
      <c r="T228" s="17"/>
    </row>
    <row r="229" spans="2:20" x14ac:dyDescent="0.2">
      <c r="B229" s="3"/>
      <c r="S229" s="3"/>
      <c r="T229" s="17"/>
    </row>
    <row r="230" spans="2:20" x14ac:dyDescent="0.2">
      <c r="B230" s="3"/>
      <c r="S230" s="3"/>
      <c r="T230" s="17"/>
    </row>
    <row r="231" spans="2:20" x14ac:dyDescent="0.2">
      <c r="B231" s="3"/>
      <c r="S231" s="3"/>
      <c r="T231" s="17"/>
    </row>
    <row r="232" spans="2:20" x14ac:dyDescent="0.2">
      <c r="B232" s="3"/>
      <c r="S232" s="3"/>
      <c r="T232" s="17"/>
    </row>
    <row r="233" spans="2:20" x14ac:dyDescent="0.2">
      <c r="B233" s="3"/>
      <c r="S233" s="3"/>
      <c r="T233" s="17"/>
    </row>
    <row r="234" spans="2:20" x14ac:dyDescent="0.2">
      <c r="B234" s="3"/>
      <c r="S234" s="3"/>
      <c r="T234" s="17"/>
    </row>
    <row r="235" spans="2:20" x14ac:dyDescent="0.2">
      <c r="B235" s="3"/>
      <c r="S235" s="3"/>
      <c r="T235" s="17"/>
    </row>
    <row r="236" spans="2:20" x14ac:dyDescent="0.2">
      <c r="B236" s="3"/>
      <c r="S236" s="3"/>
      <c r="T236" s="17"/>
    </row>
    <row r="237" spans="2:20" x14ac:dyDescent="0.2">
      <c r="B237" s="3"/>
      <c r="S237" s="3"/>
      <c r="T237" s="17"/>
    </row>
    <row r="238" spans="2:20" x14ac:dyDescent="0.2">
      <c r="B238" s="3"/>
      <c r="S238" s="3"/>
      <c r="T238" s="17"/>
    </row>
    <row r="239" spans="2:20" x14ac:dyDescent="0.2">
      <c r="B239" s="3"/>
      <c r="S239" s="3"/>
      <c r="T239" s="17"/>
    </row>
    <row r="240" spans="2:20" x14ac:dyDescent="0.2">
      <c r="B240" s="3"/>
      <c r="S240" s="3"/>
      <c r="T240" s="17"/>
    </row>
    <row r="241" spans="2:20" x14ac:dyDescent="0.2">
      <c r="B241" s="3"/>
      <c r="S241" s="3"/>
      <c r="T241" s="17"/>
    </row>
    <row r="242" spans="2:20" x14ac:dyDescent="0.2">
      <c r="B242" s="3"/>
      <c r="S242" s="3"/>
      <c r="T242" s="17"/>
    </row>
    <row r="243" spans="2:20" x14ac:dyDescent="0.2">
      <c r="B243" s="3"/>
      <c r="S243" s="3"/>
      <c r="T243" s="17"/>
    </row>
    <row r="244" spans="2:20" x14ac:dyDescent="0.2">
      <c r="B244" s="3"/>
      <c r="S244" s="3"/>
      <c r="T244" s="17"/>
    </row>
    <row r="245" spans="2:20" x14ac:dyDescent="0.2">
      <c r="B245" s="3"/>
      <c r="S245" s="3"/>
      <c r="T245" s="17"/>
    </row>
    <row r="246" spans="2:20" x14ac:dyDescent="0.2">
      <c r="B246" s="3"/>
      <c r="S246" s="3"/>
      <c r="T246" s="17"/>
    </row>
    <row r="247" spans="2:20" x14ac:dyDescent="0.2">
      <c r="B247" s="3"/>
      <c r="S247" s="3"/>
      <c r="T247" s="17"/>
    </row>
    <row r="248" spans="2:20" x14ac:dyDescent="0.2">
      <c r="B248" s="3"/>
      <c r="S248" s="3"/>
      <c r="T248" s="17"/>
    </row>
    <row r="249" spans="2:20" x14ac:dyDescent="0.2">
      <c r="B249" s="3"/>
      <c r="S249" s="3"/>
      <c r="T249" s="17"/>
    </row>
    <row r="250" spans="2:20" x14ac:dyDescent="0.2">
      <c r="B250" s="3"/>
      <c r="S250" s="3"/>
      <c r="T250" s="17"/>
    </row>
    <row r="251" spans="2:20" x14ac:dyDescent="0.2">
      <c r="B251" s="3"/>
      <c r="S251" s="3"/>
      <c r="T251" s="17"/>
    </row>
    <row r="252" spans="2:20" x14ac:dyDescent="0.2">
      <c r="B252" s="3"/>
      <c r="S252" s="3"/>
      <c r="T252" s="17"/>
    </row>
    <row r="253" spans="2:20" x14ac:dyDescent="0.2">
      <c r="B253" s="3"/>
      <c r="S253" s="3"/>
      <c r="T253" s="17"/>
    </row>
    <row r="254" spans="2:20" x14ac:dyDescent="0.2">
      <c r="B254" s="3"/>
      <c r="S254" s="3"/>
      <c r="T254" s="17"/>
    </row>
    <row r="255" spans="2:20" x14ac:dyDescent="0.2">
      <c r="B255" s="3"/>
      <c r="S255" s="3"/>
      <c r="T255" s="17"/>
    </row>
    <row r="256" spans="2:20" x14ac:dyDescent="0.2">
      <c r="B256" s="3"/>
      <c r="S256" s="3"/>
      <c r="T256" s="17"/>
    </row>
    <row r="257" spans="2:20" x14ac:dyDescent="0.2">
      <c r="B257" s="3"/>
      <c r="S257" s="3"/>
      <c r="T257" s="17"/>
    </row>
    <row r="258" spans="2:20" x14ac:dyDescent="0.2">
      <c r="B258" s="3"/>
      <c r="S258" s="3"/>
      <c r="T258" s="17"/>
    </row>
    <row r="259" spans="2:20" x14ac:dyDescent="0.2">
      <c r="B259" s="3"/>
      <c r="S259" s="3"/>
      <c r="T259" s="17"/>
    </row>
    <row r="260" spans="2:20" x14ac:dyDescent="0.2">
      <c r="B260" s="3"/>
      <c r="S260" s="3"/>
      <c r="T260" s="17"/>
    </row>
    <row r="261" spans="2:20" x14ac:dyDescent="0.2">
      <c r="B261" s="3"/>
      <c r="S261" s="3"/>
      <c r="T261" s="17"/>
    </row>
    <row r="262" spans="2:20" x14ac:dyDescent="0.2">
      <c r="B262" s="3"/>
      <c r="S262" s="3"/>
      <c r="T262" s="17"/>
    </row>
    <row r="263" spans="2:20" x14ac:dyDescent="0.2">
      <c r="B263" s="3"/>
      <c r="S263" s="3"/>
      <c r="T263" s="17"/>
    </row>
    <row r="264" spans="2:20" x14ac:dyDescent="0.2">
      <c r="B264" s="3"/>
      <c r="S264" s="3"/>
      <c r="T264" s="17"/>
    </row>
    <row r="265" spans="2:20" x14ac:dyDescent="0.2">
      <c r="B265" s="3"/>
      <c r="S265" s="3"/>
      <c r="T265" s="17"/>
    </row>
    <row r="266" spans="2:20" x14ac:dyDescent="0.2">
      <c r="B266" s="3"/>
      <c r="S266" s="3"/>
      <c r="T266" s="17"/>
    </row>
    <row r="267" spans="2:20" x14ac:dyDescent="0.2">
      <c r="B267" s="3"/>
      <c r="S267" s="3"/>
      <c r="T267" s="17"/>
    </row>
    <row r="268" spans="2:20" x14ac:dyDescent="0.2">
      <c r="B268" s="3"/>
      <c r="S268" s="3"/>
      <c r="T268" s="17"/>
    </row>
    <row r="269" spans="2:20" x14ac:dyDescent="0.2">
      <c r="B269" s="3"/>
      <c r="S269" s="3"/>
      <c r="T269" s="17"/>
    </row>
    <row r="270" spans="2:20" x14ac:dyDescent="0.2">
      <c r="B270" s="3"/>
      <c r="S270" s="3"/>
      <c r="T270" s="17"/>
    </row>
    <row r="271" spans="2:20" x14ac:dyDescent="0.2">
      <c r="B271" s="3"/>
      <c r="S271" s="3"/>
      <c r="T271" s="17"/>
    </row>
    <row r="272" spans="2:20" x14ac:dyDescent="0.2">
      <c r="B272" s="3"/>
      <c r="S272" s="3"/>
      <c r="T272" s="17"/>
    </row>
    <row r="273" spans="2:20" x14ac:dyDescent="0.2">
      <c r="B273" s="3"/>
      <c r="S273" s="3"/>
      <c r="T273" s="17"/>
    </row>
    <row r="274" spans="2:20" x14ac:dyDescent="0.2">
      <c r="B274" s="3"/>
      <c r="S274" s="3"/>
      <c r="T274" s="17"/>
    </row>
    <row r="275" spans="2:20" x14ac:dyDescent="0.2">
      <c r="B275" s="3"/>
      <c r="S275" s="3"/>
      <c r="T275" s="17"/>
    </row>
    <row r="276" spans="2:20" x14ac:dyDescent="0.2">
      <c r="B276" s="3"/>
      <c r="S276" s="3"/>
      <c r="T276" s="17"/>
    </row>
    <row r="277" spans="2:20" x14ac:dyDescent="0.2">
      <c r="B277" s="3"/>
      <c r="S277" s="3"/>
      <c r="T277" s="17"/>
    </row>
    <row r="278" spans="2:20" x14ac:dyDescent="0.2">
      <c r="B278" s="3"/>
      <c r="S278" s="3"/>
      <c r="T278" s="17"/>
    </row>
    <row r="279" spans="2:20" x14ac:dyDescent="0.2">
      <c r="B279" s="3"/>
      <c r="S279" s="3"/>
      <c r="T279" s="17"/>
    </row>
    <row r="280" spans="2:20" x14ac:dyDescent="0.2">
      <c r="B280" s="3"/>
      <c r="S280" s="3"/>
      <c r="T280" s="17"/>
    </row>
    <row r="281" spans="2:20" x14ac:dyDescent="0.2">
      <c r="B281" s="3"/>
      <c r="S281" s="3"/>
      <c r="T281" s="17"/>
    </row>
    <row r="282" spans="2:20" x14ac:dyDescent="0.2">
      <c r="B282" s="3"/>
      <c r="S282" s="3"/>
      <c r="T282" s="17"/>
    </row>
    <row r="283" spans="2:20" x14ac:dyDescent="0.2">
      <c r="B283" s="3"/>
      <c r="S283" s="3"/>
      <c r="T283" s="17"/>
    </row>
    <row r="284" spans="2:20" x14ac:dyDescent="0.2">
      <c r="B284" s="3"/>
      <c r="S284" s="3"/>
      <c r="T284" s="17"/>
    </row>
    <row r="285" spans="2:20" x14ac:dyDescent="0.2">
      <c r="B285" s="3"/>
      <c r="S285" s="3"/>
      <c r="T285" s="17"/>
    </row>
    <row r="286" spans="2:20" x14ac:dyDescent="0.2">
      <c r="B286" s="3"/>
      <c r="S286" s="3"/>
      <c r="T286" s="17"/>
    </row>
    <row r="287" spans="2:20" x14ac:dyDescent="0.2">
      <c r="B287" s="3"/>
      <c r="S287" s="3"/>
      <c r="T287" s="17"/>
    </row>
    <row r="288" spans="2:20" x14ac:dyDescent="0.2">
      <c r="B288" s="3"/>
      <c r="S288" s="3"/>
      <c r="T288" s="17"/>
    </row>
    <row r="289" spans="2:20" x14ac:dyDescent="0.2">
      <c r="B289" s="3"/>
      <c r="S289" s="3"/>
      <c r="T289" s="17"/>
    </row>
    <row r="290" spans="2:20" x14ac:dyDescent="0.2">
      <c r="B290" s="3"/>
      <c r="S290" s="3"/>
      <c r="T290" s="17"/>
    </row>
    <row r="291" spans="2:20" x14ac:dyDescent="0.2">
      <c r="B291" s="3"/>
      <c r="S291" s="3"/>
      <c r="T291" s="17"/>
    </row>
    <row r="292" spans="2:20" x14ac:dyDescent="0.2">
      <c r="B292" s="3"/>
      <c r="S292" s="3"/>
      <c r="T292" s="17"/>
    </row>
    <row r="293" spans="2:20" x14ac:dyDescent="0.2">
      <c r="B293" s="3"/>
      <c r="S293" s="3"/>
      <c r="T293" s="17"/>
    </row>
    <row r="294" spans="2:20" x14ac:dyDescent="0.2">
      <c r="B294" s="3"/>
      <c r="S294" s="3"/>
      <c r="T294" s="17"/>
    </row>
    <row r="295" spans="2:20" x14ac:dyDescent="0.2">
      <c r="B295" s="3"/>
      <c r="S295" s="3"/>
      <c r="T295" s="17"/>
    </row>
    <row r="296" spans="2:20" x14ac:dyDescent="0.2">
      <c r="B296" s="3"/>
      <c r="S296" s="3"/>
      <c r="T296" s="17"/>
    </row>
    <row r="297" spans="2:20" x14ac:dyDescent="0.2">
      <c r="B297" s="3"/>
      <c r="S297" s="3"/>
      <c r="T297" s="17"/>
    </row>
    <row r="298" spans="2:20" x14ac:dyDescent="0.2">
      <c r="B298" s="3"/>
      <c r="S298" s="3"/>
      <c r="T298" s="17"/>
    </row>
    <row r="299" spans="2:20" x14ac:dyDescent="0.2">
      <c r="B299" s="3"/>
      <c r="S299" s="3"/>
      <c r="T299" s="17"/>
    </row>
    <row r="300" spans="2:20" x14ac:dyDescent="0.2">
      <c r="B300" s="3"/>
      <c r="S300" s="3"/>
      <c r="T300" s="17"/>
    </row>
    <row r="301" spans="2:20" x14ac:dyDescent="0.2">
      <c r="B301" s="3"/>
      <c r="S301" s="3"/>
      <c r="T301" s="17"/>
    </row>
    <row r="302" spans="2:20" x14ac:dyDescent="0.2">
      <c r="B302" s="3"/>
      <c r="S302" s="3"/>
      <c r="T302" s="17"/>
    </row>
    <row r="303" spans="2:20" x14ac:dyDescent="0.2">
      <c r="B303" s="3"/>
      <c r="S303" s="3"/>
      <c r="T303" s="17"/>
    </row>
    <row r="304" spans="2:20" x14ac:dyDescent="0.2">
      <c r="B304" s="3"/>
      <c r="S304" s="3"/>
      <c r="T304" s="17"/>
    </row>
    <row r="305" spans="2:20" x14ac:dyDescent="0.2">
      <c r="B305" s="3"/>
      <c r="S305" s="3"/>
      <c r="T305" s="17"/>
    </row>
    <row r="306" spans="2:20" x14ac:dyDescent="0.2">
      <c r="B306" s="3"/>
      <c r="S306" s="3"/>
      <c r="T306" s="17"/>
    </row>
    <row r="307" spans="2:20" x14ac:dyDescent="0.2">
      <c r="B307" s="3"/>
      <c r="S307" s="3"/>
      <c r="T307" s="17"/>
    </row>
    <row r="308" spans="2:20" x14ac:dyDescent="0.2">
      <c r="B308" s="3"/>
      <c r="S308" s="3"/>
      <c r="T308" s="17"/>
    </row>
    <row r="309" spans="2:20" x14ac:dyDescent="0.2">
      <c r="B309" s="3"/>
      <c r="S309" s="3"/>
      <c r="T309" s="17"/>
    </row>
    <row r="310" spans="2:20" x14ac:dyDescent="0.2">
      <c r="B310" s="3"/>
      <c r="S310" s="3"/>
      <c r="T310" s="17"/>
    </row>
    <row r="311" spans="2:20" x14ac:dyDescent="0.2">
      <c r="B311" s="3"/>
      <c r="S311" s="3"/>
      <c r="T311" s="17"/>
    </row>
    <row r="312" spans="2:20" x14ac:dyDescent="0.2">
      <c r="B312" s="3"/>
      <c r="S312" s="3"/>
      <c r="T312" s="17"/>
    </row>
    <row r="313" spans="2:20" x14ac:dyDescent="0.2">
      <c r="B313" s="3"/>
      <c r="S313" s="3"/>
      <c r="T313" s="17"/>
    </row>
    <row r="314" spans="2:20" x14ac:dyDescent="0.2">
      <c r="B314" s="3"/>
      <c r="S314" s="3"/>
      <c r="T314" s="17"/>
    </row>
    <row r="315" spans="2:20" x14ac:dyDescent="0.2">
      <c r="B315" s="3"/>
      <c r="S315" s="3"/>
      <c r="T315" s="17"/>
    </row>
    <row r="316" spans="2:20" x14ac:dyDescent="0.2">
      <c r="B316" s="3"/>
      <c r="S316" s="3"/>
      <c r="T316" s="17"/>
    </row>
    <row r="317" spans="2:20" x14ac:dyDescent="0.2">
      <c r="B317" s="3"/>
      <c r="S317" s="3"/>
      <c r="T317" s="17"/>
    </row>
    <row r="318" spans="2:20" x14ac:dyDescent="0.2">
      <c r="B318" s="3"/>
      <c r="S318" s="3"/>
      <c r="T318" s="17"/>
    </row>
    <row r="319" spans="2:20" x14ac:dyDescent="0.2">
      <c r="B319" s="3"/>
      <c r="S319" s="3"/>
      <c r="T319" s="17"/>
    </row>
    <row r="320" spans="2:20" x14ac:dyDescent="0.2">
      <c r="B320" s="3"/>
      <c r="S320" s="3"/>
      <c r="T320" s="17"/>
    </row>
    <row r="321" spans="2:20" x14ac:dyDescent="0.2">
      <c r="B321" s="3"/>
      <c r="S321" s="3"/>
      <c r="T321" s="17"/>
    </row>
    <row r="322" spans="2:20" x14ac:dyDescent="0.2">
      <c r="B322" s="3"/>
      <c r="S322" s="3"/>
      <c r="T322" s="17"/>
    </row>
    <row r="323" spans="2:20" x14ac:dyDescent="0.2">
      <c r="B323" s="3"/>
      <c r="S323" s="3"/>
      <c r="T323" s="17"/>
    </row>
    <row r="324" spans="2:20" x14ac:dyDescent="0.2">
      <c r="B324" s="3"/>
      <c r="S324" s="3"/>
      <c r="T324" s="17"/>
    </row>
    <row r="325" spans="2:20" x14ac:dyDescent="0.2">
      <c r="B325" s="3"/>
      <c r="S325" s="3"/>
      <c r="T325" s="17"/>
    </row>
    <row r="326" spans="2:20" x14ac:dyDescent="0.2">
      <c r="B326" s="3"/>
      <c r="S326" s="3"/>
      <c r="T326" s="17"/>
    </row>
    <row r="327" spans="2:20" x14ac:dyDescent="0.2">
      <c r="B327" s="3"/>
      <c r="S327" s="3"/>
      <c r="T327" s="17"/>
    </row>
    <row r="328" spans="2:20" x14ac:dyDescent="0.2">
      <c r="B328" s="3"/>
      <c r="S328" s="3"/>
      <c r="T328" s="17"/>
    </row>
    <row r="329" spans="2:20" x14ac:dyDescent="0.2">
      <c r="B329" s="3"/>
      <c r="S329" s="3"/>
      <c r="T329" s="17"/>
    </row>
    <row r="330" spans="2:20" x14ac:dyDescent="0.2">
      <c r="B330" s="3"/>
      <c r="S330" s="3"/>
      <c r="T330" s="17"/>
    </row>
    <row r="331" spans="2:20" x14ac:dyDescent="0.2">
      <c r="B331" s="3"/>
      <c r="S331" s="3"/>
      <c r="T331" s="17"/>
    </row>
    <row r="332" spans="2:20" x14ac:dyDescent="0.2">
      <c r="B332" s="3"/>
      <c r="S332" s="3"/>
      <c r="T332" s="17"/>
    </row>
    <row r="333" spans="2:20" x14ac:dyDescent="0.2">
      <c r="B333" s="3"/>
      <c r="S333" s="3"/>
      <c r="T333" s="17"/>
    </row>
    <row r="334" spans="2:20" x14ac:dyDescent="0.2">
      <c r="B334" s="3"/>
      <c r="S334" s="3"/>
      <c r="T334" s="17"/>
    </row>
    <row r="335" spans="2:20" x14ac:dyDescent="0.2">
      <c r="B335" s="3"/>
      <c r="S335" s="3"/>
      <c r="T335" s="17"/>
    </row>
    <row r="336" spans="2:20" x14ac:dyDescent="0.2">
      <c r="B336" s="3"/>
      <c r="S336" s="3"/>
      <c r="T336" s="17"/>
    </row>
    <row r="337" spans="2:20" x14ac:dyDescent="0.2">
      <c r="B337" s="3"/>
      <c r="S337" s="3"/>
      <c r="T337" s="17"/>
    </row>
    <row r="338" spans="2:20" x14ac:dyDescent="0.2">
      <c r="B338" s="3"/>
      <c r="S338" s="3"/>
      <c r="T338" s="17"/>
    </row>
    <row r="339" spans="2:20" x14ac:dyDescent="0.2">
      <c r="B339" s="3"/>
      <c r="S339" s="3"/>
      <c r="T339" s="17"/>
    </row>
    <row r="340" spans="2:20" x14ac:dyDescent="0.2">
      <c r="B340" s="3"/>
      <c r="S340" s="3"/>
      <c r="T340" s="17"/>
    </row>
    <row r="341" spans="2:20" x14ac:dyDescent="0.2">
      <c r="B341" s="3"/>
      <c r="S341" s="3"/>
      <c r="T341" s="17"/>
    </row>
    <row r="342" spans="2:20" x14ac:dyDescent="0.2">
      <c r="B342" s="3"/>
      <c r="S342" s="3"/>
      <c r="T342" s="17"/>
    </row>
    <row r="343" spans="2:20" x14ac:dyDescent="0.2">
      <c r="B343" s="3"/>
      <c r="S343" s="3"/>
      <c r="T343" s="17"/>
    </row>
    <row r="344" spans="2:20" x14ac:dyDescent="0.2">
      <c r="B344" s="3"/>
      <c r="S344" s="3"/>
      <c r="T344" s="17"/>
    </row>
    <row r="345" spans="2:20" x14ac:dyDescent="0.2">
      <c r="B345" s="3"/>
      <c r="S345" s="3"/>
      <c r="T345" s="17"/>
    </row>
    <row r="346" spans="2:20" x14ac:dyDescent="0.2">
      <c r="B346" s="3"/>
      <c r="S346" s="3"/>
      <c r="T346" s="17"/>
    </row>
    <row r="347" spans="2:20" x14ac:dyDescent="0.2">
      <c r="B347" s="3"/>
      <c r="S347" s="3"/>
      <c r="T347" s="17"/>
    </row>
    <row r="348" spans="2:20" x14ac:dyDescent="0.2">
      <c r="B348" s="3"/>
      <c r="S348" s="3"/>
      <c r="T348" s="17"/>
    </row>
    <row r="349" spans="2:20" x14ac:dyDescent="0.2">
      <c r="B349" s="3"/>
      <c r="S349" s="3"/>
      <c r="T349" s="17"/>
    </row>
    <row r="350" spans="2:20" x14ac:dyDescent="0.2">
      <c r="B350" s="3"/>
      <c r="S350" s="3"/>
      <c r="T350" s="17"/>
    </row>
    <row r="351" spans="2:20" x14ac:dyDescent="0.2">
      <c r="B351" s="3"/>
      <c r="S351" s="3"/>
      <c r="T351" s="17"/>
    </row>
    <row r="352" spans="2:20" x14ac:dyDescent="0.2">
      <c r="B352" s="3"/>
      <c r="S352" s="3"/>
      <c r="T352" s="17"/>
    </row>
    <row r="353" spans="2:20" x14ac:dyDescent="0.2">
      <c r="B353" s="3"/>
      <c r="S353" s="3"/>
      <c r="T353" s="17"/>
    </row>
    <row r="354" spans="2:20" x14ac:dyDescent="0.2">
      <c r="B354" s="3"/>
      <c r="S354" s="3"/>
      <c r="T354" s="17"/>
    </row>
    <row r="355" spans="2:20" x14ac:dyDescent="0.2">
      <c r="B355" s="3"/>
      <c r="S355" s="3"/>
      <c r="T355" s="17"/>
    </row>
    <row r="356" spans="2:20" x14ac:dyDescent="0.2">
      <c r="B356" s="3"/>
      <c r="S356" s="3"/>
      <c r="T356" s="17"/>
    </row>
    <row r="357" spans="2:20" x14ac:dyDescent="0.2">
      <c r="B357" s="3"/>
      <c r="S357" s="3"/>
      <c r="T357" s="17"/>
    </row>
    <row r="358" spans="2:20" x14ac:dyDescent="0.2">
      <c r="B358" s="3"/>
      <c r="S358" s="3"/>
      <c r="T358" s="17"/>
    </row>
    <row r="359" spans="2:20" x14ac:dyDescent="0.2">
      <c r="B359" s="3"/>
      <c r="S359" s="3"/>
      <c r="T359" s="17"/>
    </row>
    <row r="360" spans="2:20" x14ac:dyDescent="0.2">
      <c r="B360" s="3"/>
      <c r="S360" s="3"/>
      <c r="T360" s="17"/>
    </row>
    <row r="361" spans="2:20" x14ac:dyDescent="0.2">
      <c r="B361" s="3"/>
      <c r="S361" s="3"/>
      <c r="T361" s="17"/>
    </row>
    <row r="362" spans="2:20" x14ac:dyDescent="0.2">
      <c r="B362" s="3"/>
      <c r="S362" s="3"/>
      <c r="T362" s="17"/>
    </row>
    <row r="363" spans="2:20" x14ac:dyDescent="0.2">
      <c r="B363" s="3"/>
      <c r="S363" s="3"/>
      <c r="T363" s="17"/>
    </row>
    <row r="364" spans="2:20" x14ac:dyDescent="0.2">
      <c r="B364" s="3"/>
      <c r="S364" s="3"/>
      <c r="T364" s="17"/>
    </row>
    <row r="365" spans="2:20" x14ac:dyDescent="0.2">
      <c r="B365" s="3"/>
      <c r="S365" s="3"/>
      <c r="T365" s="17"/>
    </row>
    <row r="366" spans="2:20" x14ac:dyDescent="0.2">
      <c r="B366" s="3"/>
      <c r="S366" s="3"/>
      <c r="T366" s="17"/>
    </row>
    <row r="367" spans="2:20" x14ac:dyDescent="0.2">
      <c r="B367" s="3"/>
      <c r="S367" s="3"/>
      <c r="T367" s="17"/>
    </row>
    <row r="368" spans="2:20" x14ac:dyDescent="0.2">
      <c r="B368" s="3"/>
      <c r="S368" s="3"/>
      <c r="T368" s="17"/>
    </row>
    <row r="369" spans="2:20" x14ac:dyDescent="0.2">
      <c r="B369" s="3"/>
      <c r="S369" s="3"/>
      <c r="T369" s="17"/>
    </row>
    <row r="370" spans="2:20" x14ac:dyDescent="0.2">
      <c r="B370" s="3"/>
      <c r="S370" s="3"/>
      <c r="T370" s="17"/>
    </row>
    <row r="371" spans="2:20" x14ac:dyDescent="0.2">
      <c r="B371" s="3"/>
      <c r="S371" s="3"/>
      <c r="T371" s="17"/>
    </row>
    <row r="372" spans="2:20" x14ac:dyDescent="0.2">
      <c r="B372" s="3"/>
      <c r="S372" s="3"/>
      <c r="T372" s="17"/>
    </row>
    <row r="373" spans="2:20" x14ac:dyDescent="0.2">
      <c r="B373" s="3"/>
      <c r="S373" s="3"/>
      <c r="T373" s="17"/>
    </row>
    <row r="374" spans="2:20" x14ac:dyDescent="0.2">
      <c r="B374" s="3"/>
      <c r="S374" s="3"/>
      <c r="T374" s="17"/>
    </row>
    <row r="375" spans="2:20" x14ac:dyDescent="0.2">
      <c r="B375" s="3"/>
      <c r="S375" s="3"/>
      <c r="T375" s="17"/>
    </row>
    <row r="376" spans="2:20" x14ac:dyDescent="0.2">
      <c r="B376" s="3"/>
      <c r="S376" s="3"/>
      <c r="T376" s="17"/>
    </row>
    <row r="377" spans="2:20" x14ac:dyDescent="0.2">
      <c r="B377" s="3"/>
      <c r="S377" s="3"/>
      <c r="T377" s="17"/>
    </row>
    <row r="378" spans="2:20" x14ac:dyDescent="0.2">
      <c r="B378" s="3"/>
      <c r="S378" s="3"/>
      <c r="T378" s="17"/>
    </row>
    <row r="379" spans="2:20" x14ac:dyDescent="0.2">
      <c r="B379" s="3"/>
      <c r="S379" s="3"/>
      <c r="T379" s="17"/>
    </row>
    <row r="380" spans="2:20" x14ac:dyDescent="0.2">
      <c r="B380" s="3"/>
      <c r="S380" s="3"/>
      <c r="T380" s="17"/>
    </row>
    <row r="381" spans="2:20" x14ac:dyDescent="0.2">
      <c r="B381" s="3"/>
      <c r="S381" s="3"/>
      <c r="T381" s="17"/>
    </row>
    <row r="382" spans="2:20" x14ac:dyDescent="0.2">
      <c r="B382" s="3"/>
      <c r="S382" s="3"/>
      <c r="T382" s="17"/>
    </row>
    <row r="383" spans="2:20" x14ac:dyDescent="0.2">
      <c r="B383" s="3"/>
      <c r="S383" s="3"/>
      <c r="T383" s="17"/>
    </row>
    <row r="384" spans="2:20" x14ac:dyDescent="0.2">
      <c r="B384" s="3"/>
      <c r="S384" s="3"/>
      <c r="T384" s="17"/>
    </row>
    <row r="385" spans="2:20" x14ac:dyDescent="0.2">
      <c r="B385" s="3"/>
      <c r="S385" s="3"/>
      <c r="T385" s="17"/>
    </row>
    <row r="386" spans="2:20" x14ac:dyDescent="0.2">
      <c r="B386" s="3"/>
      <c r="S386" s="3"/>
      <c r="T386" s="17"/>
    </row>
    <row r="387" spans="2:20" x14ac:dyDescent="0.2">
      <c r="B387" s="3"/>
      <c r="S387" s="3"/>
      <c r="T387" s="17"/>
    </row>
    <row r="388" spans="2:20" x14ac:dyDescent="0.2">
      <c r="B388" s="3"/>
      <c r="S388" s="3"/>
      <c r="T388" s="17"/>
    </row>
    <row r="389" spans="2:20" x14ac:dyDescent="0.2">
      <c r="B389" s="3"/>
      <c r="S389" s="3"/>
      <c r="T389" s="17"/>
    </row>
    <row r="390" spans="2:20" x14ac:dyDescent="0.2">
      <c r="B390" s="3"/>
      <c r="S390" s="3"/>
      <c r="T390" s="17"/>
    </row>
    <row r="391" spans="2:20" x14ac:dyDescent="0.2">
      <c r="B391" s="3"/>
      <c r="S391" s="3"/>
      <c r="T391" s="17"/>
    </row>
    <row r="392" spans="2:20" x14ac:dyDescent="0.2">
      <c r="B392" s="3"/>
      <c r="S392" s="3"/>
      <c r="T392" s="17"/>
    </row>
    <row r="393" spans="2:20" x14ac:dyDescent="0.2">
      <c r="B393" s="3"/>
      <c r="S393" s="3"/>
      <c r="T393" s="17"/>
    </row>
    <row r="394" spans="2:20" x14ac:dyDescent="0.2">
      <c r="B394" s="3"/>
      <c r="S394" s="3"/>
      <c r="T394" s="17"/>
    </row>
    <row r="395" spans="2:20" x14ac:dyDescent="0.2">
      <c r="B395" s="3"/>
      <c r="S395" s="3"/>
      <c r="T395" s="17"/>
    </row>
    <row r="396" spans="2:20" x14ac:dyDescent="0.2">
      <c r="B396" s="3"/>
      <c r="S396" s="3"/>
      <c r="T396" s="17"/>
    </row>
    <row r="397" spans="2:20" x14ac:dyDescent="0.2">
      <c r="B397" s="3"/>
      <c r="S397" s="3"/>
      <c r="T397" s="17"/>
    </row>
    <row r="398" spans="2:20" x14ac:dyDescent="0.2">
      <c r="B398" s="3"/>
      <c r="S398" s="3"/>
      <c r="T398" s="17"/>
    </row>
    <row r="399" spans="2:20" x14ac:dyDescent="0.2">
      <c r="B399" s="3"/>
      <c r="S399" s="3"/>
      <c r="T399" s="17"/>
    </row>
    <row r="400" spans="2:20" x14ac:dyDescent="0.2">
      <c r="B400" s="3"/>
      <c r="S400" s="3"/>
      <c r="T400" s="17"/>
    </row>
    <row r="401" spans="2:20" x14ac:dyDescent="0.2">
      <c r="B401" s="3"/>
      <c r="S401" s="3"/>
      <c r="T401" s="17"/>
    </row>
    <row r="402" spans="2:20" x14ac:dyDescent="0.2">
      <c r="B402" s="3"/>
      <c r="S402" s="3"/>
      <c r="T402" s="17"/>
    </row>
    <row r="403" spans="2:20" x14ac:dyDescent="0.2">
      <c r="B403" s="3"/>
      <c r="S403" s="3"/>
      <c r="T403" s="17"/>
    </row>
    <row r="404" spans="2:20" x14ac:dyDescent="0.2">
      <c r="B404" s="3"/>
      <c r="S404" s="3"/>
      <c r="T404" s="17"/>
    </row>
    <row r="405" spans="2:20" x14ac:dyDescent="0.2">
      <c r="B405" s="3"/>
      <c r="S405" s="3"/>
      <c r="T405" s="17"/>
    </row>
    <row r="406" spans="2:20" x14ac:dyDescent="0.2">
      <c r="B406" s="3"/>
      <c r="S406" s="3"/>
      <c r="T406" s="17"/>
    </row>
    <row r="407" spans="2:20" x14ac:dyDescent="0.2">
      <c r="B407" s="3"/>
      <c r="S407" s="3"/>
      <c r="T407" s="17"/>
    </row>
    <row r="408" spans="2:20" x14ac:dyDescent="0.2">
      <c r="B408" s="3"/>
      <c r="S408" s="3"/>
      <c r="T408" s="17"/>
    </row>
    <row r="409" spans="2:20" x14ac:dyDescent="0.2">
      <c r="B409" s="3"/>
      <c r="S409" s="3"/>
      <c r="T409" s="17"/>
    </row>
    <row r="410" spans="2:20" x14ac:dyDescent="0.2">
      <c r="B410" s="3"/>
      <c r="S410" s="3"/>
      <c r="T410" s="17"/>
    </row>
    <row r="411" spans="2:20" x14ac:dyDescent="0.2">
      <c r="B411" s="3"/>
      <c r="S411" s="3"/>
      <c r="T411" s="17"/>
    </row>
    <row r="412" spans="2:20" x14ac:dyDescent="0.2">
      <c r="B412" s="3"/>
      <c r="S412" s="3"/>
      <c r="T412" s="17"/>
    </row>
    <row r="413" spans="2:20" x14ac:dyDescent="0.2">
      <c r="B413" s="3"/>
      <c r="S413" s="3"/>
      <c r="T413" s="17"/>
    </row>
    <row r="414" spans="2:20" x14ac:dyDescent="0.2">
      <c r="B414" s="3"/>
      <c r="S414" s="3"/>
      <c r="T414" s="17"/>
    </row>
    <row r="415" spans="2:20" x14ac:dyDescent="0.2">
      <c r="B415" s="3"/>
      <c r="S415" s="3"/>
      <c r="T415" s="17"/>
    </row>
    <row r="416" spans="2:20" x14ac:dyDescent="0.2">
      <c r="B416" s="3"/>
      <c r="S416" s="3"/>
      <c r="T416" s="17"/>
    </row>
    <row r="417" spans="2:20" x14ac:dyDescent="0.2">
      <c r="B417" s="3"/>
      <c r="S417" s="3"/>
      <c r="T417" s="17"/>
    </row>
    <row r="418" spans="2:20" x14ac:dyDescent="0.2">
      <c r="B418" s="3"/>
      <c r="S418" s="3"/>
      <c r="T418" s="17"/>
    </row>
    <row r="419" spans="2:20" x14ac:dyDescent="0.2">
      <c r="B419" s="3"/>
      <c r="S419" s="3"/>
      <c r="T419" s="17"/>
    </row>
    <row r="420" spans="2:20" x14ac:dyDescent="0.2">
      <c r="B420" s="3"/>
      <c r="S420" s="3"/>
      <c r="T420" s="17"/>
    </row>
    <row r="421" spans="2:20" x14ac:dyDescent="0.2">
      <c r="B421" s="3"/>
      <c r="S421" s="3"/>
      <c r="T421" s="17"/>
    </row>
    <row r="422" spans="2:20" x14ac:dyDescent="0.2">
      <c r="B422" s="3"/>
      <c r="S422" s="3"/>
      <c r="T422" s="17"/>
    </row>
    <row r="423" spans="2:20" x14ac:dyDescent="0.2">
      <c r="B423" s="3"/>
      <c r="S423" s="3"/>
      <c r="T423" s="17"/>
    </row>
    <row r="424" spans="2:20" x14ac:dyDescent="0.2">
      <c r="B424" s="3"/>
      <c r="S424" s="3"/>
      <c r="T424" s="17"/>
    </row>
    <row r="425" spans="2:20" x14ac:dyDescent="0.2">
      <c r="B425" s="3"/>
      <c r="S425" s="3"/>
      <c r="T425" s="17"/>
    </row>
    <row r="426" spans="2:20" x14ac:dyDescent="0.2">
      <c r="B426" s="3"/>
      <c r="S426" s="3"/>
      <c r="T426" s="17"/>
    </row>
    <row r="427" spans="2:20" x14ac:dyDescent="0.2">
      <c r="B427" s="3"/>
      <c r="S427" s="3"/>
      <c r="T427" s="17"/>
    </row>
    <row r="428" spans="2:20" x14ac:dyDescent="0.2">
      <c r="B428" s="3"/>
      <c r="S428" s="3"/>
      <c r="T428" s="17"/>
    </row>
    <row r="429" spans="2:20" x14ac:dyDescent="0.2">
      <c r="B429" s="3"/>
      <c r="S429" s="3"/>
      <c r="T429" s="17"/>
    </row>
    <row r="430" spans="2:20" x14ac:dyDescent="0.2">
      <c r="B430" s="3"/>
      <c r="S430" s="3"/>
      <c r="T430" s="17"/>
    </row>
    <row r="431" spans="2:20" x14ac:dyDescent="0.2">
      <c r="B431" s="3"/>
      <c r="S431" s="3"/>
      <c r="T431" s="17"/>
    </row>
    <row r="432" spans="2:20" x14ac:dyDescent="0.2">
      <c r="B432" s="3"/>
      <c r="S432" s="3"/>
      <c r="T432" s="17"/>
    </row>
    <row r="433" spans="2:20" x14ac:dyDescent="0.2">
      <c r="B433" s="3"/>
      <c r="S433" s="3"/>
      <c r="T433" s="17"/>
    </row>
    <row r="434" spans="2:20" x14ac:dyDescent="0.2">
      <c r="B434" s="3"/>
      <c r="S434" s="3"/>
      <c r="T434" s="17"/>
    </row>
    <row r="435" spans="2:20" x14ac:dyDescent="0.2">
      <c r="B435" s="3"/>
      <c r="S435" s="3"/>
      <c r="T435" s="17"/>
    </row>
    <row r="436" spans="2:20" x14ac:dyDescent="0.2">
      <c r="B436" s="3"/>
      <c r="S436" s="3"/>
      <c r="T436" s="17"/>
    </row>
    <row r="437" spans="2:20" x14ac:dyDescent="0.2">
      <c r="B437" s="3"/>
      <c r="S437" s="3"/>
      <c r="T437" s="17"/>
    </row>
    <row r="438" spans="2:20" x14ac:dyDescent="0.2">
      <c r="B438" s="3"/>
      <c r="S438" s="3"/>
      <c r="T438" s="17"/>
    </row>
    <row r="439" spans="2:20" x14ac:dyDescent="0.2">
      <c r="B439" s="3"/>
      <c r="S439" s="3"/>
      <c r="T439" s="17"/>
    </row>
    <row r="440" spans="2:20" x14ac:dyDescent="0.2">
      <c r="B440" s="3"/>
      <c r="S440" s="3"/>
      <c r="T440" s="17"/>
    </row>
    <row r="441" spans="2:20" x14ac:dyDescent="0.2">
      <c r="B441" s="3"/>
      <c r="S441" s="3"/>
      <c r="T441" s="17"/>
    </row>
    <row r="442" spans="2:20" x14ac:dyDescent="0.2">
      <c r="B442" s="3"/>
      <c r="S442" s="3"/>
      <c r="T442" s="17"/>
    </row>
    <row r="443" spans="2:20" x14ac:dyDescent="0.2">
      <c r="B443" s="3"/>
      <c r="S443" s="3"/>
      <c r="T443" s="17"/>
    </row>
    <row r="444" spans="2:20" x14ac:dyDescent="0.2">
      <c r="B444" s="3"/>
      <c r="S444" s="3"/>
      <c r="T444" s="17"/>
    </row>
    <row r="445" spans="2:20" x14ac:dyDescent="0.2">
      <c r="B445" s="3"/>
      <c r="S445" s="3"/>
      <c r="T445" s="17"/>
    </row>
    <row r="446" spans="2:20" x14ac:dyDescent="0.2">
      <c r="B446" s="3"/>
      <c r="S446" s="3"/>
      <c r="T446" s="17"/>
    </row>
    <row r="447" spans="2:20" x14ac:dyDescent="0.2">
      <c r="B447" s="3"/>
      <c r="S447" s="3"/>
      <c r="T447" s="17"/>
    </row>
    <row r="448" spans="2:20" x14ac:dyDescent="0.2">
      <c r="B448" s="3"/>
      <c r="S448" s="3"/>
      <c r="T448" s="17"/>
    </row>
    <row r="449" spans="2:20" x14ac:dyDescent="0.2">
      <c r="B449" s="3"/>
      <c r="S449" s="3"/>
      <c r="T449" s="17"/>
    </row>
    <row r="450" spans="2:20" x14ac:dyDescent="0.2">
      <c r="B450" s="3"/>
      <c r="S450" s="3"/>
      <c r="T450" s="17"/>
    </row>
    <row r="451" spans="2:20" x14ac:dyDescent="0.2">
      <c r="B451" s="3"/>
      <c r="S451" s="3"/>
      <c r="T451" s="17"/>
    </row>
    <row r="452" spans="2:20" x14ac:dyDescent="0.2">
      <c r="B452" s="3"/>
      <c r="S452" s="3"/>
      <c r="T452" s="17"/>
    </row>
    <row r="453" spans="2:20" x14ac:dyDescent="0.2">
      <c r="B453" s="3"/>
      <c r="S453" s="3"/>
      <c r="T453" s="17"/>
    </row>
    <row r="454" spans="2:20" x14ac:dyDescent="0.2">
      <c r="B454" s="3"/>
      <c r="S454" s="3"/>
      <c r="T454" s="17"/>
    </row>
    <row r="455" spans="2:20" x14ac:dyDescent="0.2">
      <c r="B455" s="3"/>
      <c r="S455" s="3"/>
      <c r="T455" s="17"/>
    </row>
    <row r="456" spans="2:20" x14ac:dyDescent="0.2">
      <c r="B456" s="3"/>
      <c r="S456" s="3"/>
      <c r="T456" s="17"/>
    </row>
    <row r="457" spans="2:20" x14ac:dyDescent="0.2">
      <c r="B457" s="3"/>
      <c r="S457" s="3"/>
      <c r="T457" s="17"/>
    </row>
    <row r="458" spans="2:20" x14ac:dyDescent="0.2">
      <c r="B458" s="3"/>
      <c r="S458" s="3"/>
      <c r="T458" s="17"/>
    </row>
    <row r="459" spans="2:20" x14ac:dyDescent="0.2">
      <c r="B459" s="3"/>
      <c r="S459" s="3"/>
      <c r="T459" s="17"/>
    </row>
    <row r="460" spans="2:20" x14ac:dyDescent="0.2">
      <c r="B460" s="3"/>
      <c r="S460" s="3"/>
      <c r="T460" s="17"/>
    </row>
    <row r="461" spans="2:20" x14ac:dyDescent="0.2">
      <c r="B461" s="3"/>
      <c r="S461" s="3"/>
      <c r="T461" s="17"/>
    </row>
    <row r="462" spans="2:20" x14ac:dyDescent="0.2">
      <c r="B462" s="3"/>
      <c r="S462" s="3"/>
      <c r="T462" s="17"/>
    </row>
    <row r="463" spans="2:20" x14ac:dyDescent="0.2">
      <c r="B463" s="3"/>
      <c r="S463" s="3"/>
      <c r="T463" s="17"/>
    </row>
    <row r="464" spans="2:20" x14ac:dyDescent="0.2">
      <c r="B464" s="3"/>
      <c r="S464" s="3"/>
      <c r="T464" s="17"/>
    </row>
    <row r="465" spans="2:20" x14ac:dyDescent="0.2">
      <c r="B465" s="3"/>
      <c r="S465" s="3"/>
      <c r="T465" s="17"/>
    </row>
    <row r="466" spans="2:20" x14ac:dyDescent="0.2">
      <c r="B466" s="3"/>
      <c r="S466" s="3"/>
      <c r="T466" s="17"/>
    </row>
    <row r="467" spans="2:20" x14ac:dyDescent="0.2">
      <c r="B467" s="3"/>
      <c r="S467" s="3"/>
      <c r="T467" s="17"/>
    </row>
    <row r="468" spans="2:20" x14ac:dyDescent="0.2">
      <c r="B468" s="3"/>
      <c r="S468" s="3"/>
      <c r="T468" s="17"/>
    </row>
    <row r="469" spans="2:20" x14ac:dyDescent="0.2">
      <c r="B469" s="3"/>
      <c r="S469" s="3"/>
      <c r="T469" s="17"/>
    </row>
    <row r="470" spans="2:20" x14ac:dyDescent="0.2">
      <c r="B470" s="3"/>
      <c r="S470" s="3"/>
      <c r="T470" s="17"/>
    </row>
    <row r="471" spans="2:20" x14ac:dyDescent="0.2">
      <c r="B471" s="3"/>
      <c r="S471" s="3"/>
      <c r="T471" s="17"/>
    </row>
    <row r="472" spans="2:20" x14ac:dyDescent="0.2">
      <c r="B472" s="3"/>
      <c r="S472" s="3"/>
      <c r="T472" s="17"/>
    </row>
    <row r="473" spans="2:20" x14ac:dyDescent="0.2">
      <c r="B473" s="3"/>
      <c r="S473" s="3"/>
      <c r="T473" s="17"/>
    </row>
    <row r="474" spans="2:20" x14ac:dyDescent="0.2">
      <c r="B474" s="3"/>
      <c r="S474" s="3"/>
      <c r="T474" s="17"/>
    </row>
    <row r="475" spans="2:20" x14ac:dyDescent="0.2">
      <c r="B475" s="3"/>
      <c r="S475" s="3"/>
      <c r="T475" s="17"/>
    </row>
    <row r="476" spans="2:20" x14ac:dyDescent="0.2">
      <c r="B476" s="3"/>
      <c r="S476" s="3"/>
      <c r="T476" s="17"/>
    </row>
    <row r="477" spans="2:20" x14ac:dyDescent="0.2">
      <c r="B477" s="3"/>
      <c r="S477" s="3"/>
      <c r="T477" s="17"/>
    </row>
    <row r="478" spans="2:20" x14ac:dyDescent="0.2">
      <c r="B478" s="3"/>
      <c r="S478" s="3"/>
      <c r="T478" s="17"/>
    </row>
    <row r="479" spans="2:20" x14ac:dyDescent="0.2">
      <c r="B479" s="3"/>
      <c r="S479" s="3"/>
      <c r="T479" s="17"/>
    </row>
    <row r="480" spans="2:20" x14ac:dyDescent="0.2">
      <c r="B480" s="3"/>
      <c r="S480" s="3"/>
      <c r="T480" s="17"/>
    </row>
    <row r="481" spans="2:20" x14ac:dyDescent="0.2">
      <c r="B481" s="3"/>
      <c r="S481" s="3"/>
      <c r="T481" s="17"/>
    </row>
    <row r="482" spans="2:20" x14ac:dyDescent="0.2">
      <c r="B482" s="3"/>
      <c r="S482" s="3"/>
      <c r="T482" s="17"/>
    </row>
    <row r="483" spans="2:20" x14ac:dyDescent="0.2">
      <c r="B483" s="3"/>
      <c r="S483" s="3"/>
      <c r="T483" s="17"/>
    </row>
    <row r="484" spans="2:20" x14ac:dyDescent="0.2">
      <c r="B484" s="3"/>
      <c r="S484" s="3"/>
      <c r="T484" s="17"/>
    </row>
    <row r="485" spans="2:20" x14ac:dyDescent="0.2">
      <c r="B485" s="3"/>
      <c r="S485" s="3"/>
      <c r="T485" s="17"/>
    </row>
    <row r="486" spans="2:20" x14ac:dyDescent="0.2">
      <c r="B486" s="3"/>
      <c r="S486" s="3"/>
      <c r="T486" s="17"/>
    </row>
    <row r="487" spans="2:20" x14ac:dyDescent="0.2">
      <c r="B487" s="3"/>
      <c r="S487" s="3"/>
      <c r="T487" s="17"/>
    </row>
    <row r="488" spans="2:20" x14ac:dyDescent="0.2">
      <c r="B488" s="3"/>
      <c r="S488" s="3"/>
      <c r="T488" s="17"/>
    </row>
    <row r="489" spans="2:20" x14ac:dyDescent="0.2">
      <c r="B489" s="3"/>
      <c r="S489" s="3"/>
      <c r="T489" s="17"/>
    </row>
    <row r="490" spans="2:20" x14ac:dyDescent="0.2">
      <c r="B490" s="3"/>
      <c r="S490" s="3"/>
      <c r="T490" s="17"/>
    </row>
    <row r="491" spans="2:20" x14ac:dyDescent="0.2">
      <c r="B491" s="3"/>
      <c r="S491" s="3"/>
      <c r="T491" s="17"/>
    </row>
    <row r="492" spans="2:20" x14ac:dyDescent="0.2">
      <c r="B492" s="3"/>
      <c r="S492" s="3"/>
      <c r="T492" s="17"/>
    </row>
    <row r="493" spans="2:20" x14ac:dyDescent="0.2">
      <c r="B493" s="3"/>
      <c r="S493" s="3"/>
      <c r="T493" s="17"/>
    </row>
    <row r="494" spans="2:20" x14ac:dyDescent="0.2">
      <c r="B494" s="3"/>
      <c r="S494" s="3"/>
      <c r="T494" s="17"/>
    </row>
    <row r="495" spans="2:20" x14ac:dyDescent="0.2">
      <c r="B495" s="3"/>
      <c r="S495" s="3"/>
      <c r="T495" s="17"/>
    </row>
    <row r="496" spans="2:20" x14ac:dyDescent="0.2">
      <c r="B496" s="3"/>
      <c r="S496" s="3"/>
      <c r="T496" s="17"/>
    </row>
    <row r="497" spans="2:20" x14ac:dyDescent="0.2">
      <c r="B497" s="3"/>
      <c r="S497" s="3"/>
      <c r="T497" s="17"/>
    </row>
    <row r="498" spans="2:20" x14ac:dyDescent="0.2">
      <c r="B498" s="3"/>
      <c r="S498" s="3"/>
      <c r="T498" s="17"/>
    </row>
    <row r="499" spans="2:20" x14ac:dyDescent="0.2">
      <c r="B499" s="3"/>
      <c r="S499" s="3"/>
      <c r="T499" s="17"/>
    </row>
    <row r="500" spans="2:20" x14ac:dyDescent="0.2">
      <c r="B500" s="3"/>
      <c r="S500" s="3"/>
      <c r="T500" s="17"/>
    </row>
    <row r="501" spans="2:20" x14ac:dyDescent="0.2">
      <c r="B501" s="3"/>
      <c r="S501" s="3"/>
      <c r="T501" s="17"/>
    </row>
    <row r="502" spans="2:20" x14ac:dyDescent="0.2">
      <c r="B502" s="3"/>
      <c r="S502" s="3"/>
      <c r="T502" s="17"/>
    </row>
    <row r="503" spans="2:20" x14ac:dyDescent="0.2">
      <c r="B503" s="3"/>
      <c r="S503" s="3"/>
      <c r="T503" s="17"/>
    </row>
    <row r="504" spans="2:20" x14ac:dyDescent="0.2">
      <c r="B504" s="3"/>
      <c r="S504" s="3"/>
      <c r="T504" s="17"/>
    </row>
    <row r="505" spans="2:20" x14ac:dyDescent="0.2">
      <c r="B505" s="3"/>
      <c r="S505" s="3"/>
      <c r="T505" s="17"/>
    </row>
    <row r="506" spans="2:20" x14ac:dyDescent="0.2">
      <c r="B506" s="3"/>
      <c r="S506" s="3"/>
      <c r="T506" s="17"/>
    </row>
    <row r="507" spans="2:20" x14ac:dyDescent="0.2">
      <c r="B507" s="3"/>
      <c r="S507" s="3"/>
      <c r="T507" s="17"/>
    </row>
    <row r="508" spans="2:20" x14ac:dyDescent="0.2">
      <c r="B508" s="3"/>
      <c r="S508" s="3"/>
      <c r="T508" s="17"/>
    </row>
    <row r="509" spans="2:20" x14ac:dyDescent="0.2">
      <c r="B509" s="3"/>
      <c r="S509" s="3"/>
      <c r="T509" s="17"/>
    </row>
    <row r="510" spans="2:20" x14ac:dyDescent="0.2">
      <c r="B510" s="3"/>
      <c r="S510" s="3"/>
      <c r="T510" s="17"/>
    </row>
    <row r="511" spans="2:20" x14ac:dyDescent="0.2">
      <c r="B511" s="3"/>
      <c r="S511" s="3"/>
      <c r="T511" s="17"/>
    </row>
    <row r="512" spans="2:20" x14ac:dyDescent="0.2">
      <c r="B512" s="3"/>
      <c r="S512" s="3"/>
      <c r="T512" s="17"/>
    </row>
    <row r="513" spans="2:20" x14ac:dyDescent="0.2">
      <c r="B513" s="3"/>
      <c r="S513" s="3"/>
      <c r="T513" s="17"/>
    </row>
    <row r="514" spans="2:20" x14ac:dyDescent="0.2">
      <c r="B514" s="3"/>
      <c r="S514" s="3"/>
      <c r="T514" s="17"/>
    </row>
    <row r="515" spans="2:20" x14ac:dyDescent="0.2">
      <c r="B515" s="3"/>
      <c r="S515" s="3"/>
      <c r="T515" s="17"/>
    </row>
    <row r="516" spans="2:20" x14ac:dyDescent="0.2">
      <c r="B516" s="3"/>
      <c r="S516" s="3"/>
      <c r="T516" s="17"/>
    </row>
    <row r="517" spans="2:20" x14ac:dyDescent="0.2">
      <c r="B517" s="3"/>
      <c r="S517" s="3"/>
      <c r="T517" s="17"/>
    </row>
    <row r="518" spans="2:20" x14ac:dyDescent="0.2">
      <c r="B518" s="3"/>
      <c r="S518" s="3"/>
      <c r="T518" s="17"/>
    </row>
    <row r="519" spans="2:20" x14ac:dyDescent="0.2">
      <c r="B519" s="3"/>
      <c r="S519" s="3"/>
      <c r="T519" s="17"/>
    </row>
    <row r="520" spans="2:20" x14ac:dyDescent="0.2">
      <c r="B520" s="3"/>
      <c r="S520" s="3"/>
      <c r="T520" s="17"/>
    </row>
    <row r="521" spans="2:20" x14ac:dyDescent="0.2">
      <c r="B521" s="3"/>
      <c r="S521" s="3"/>
      <c r="T521" s="17"/>
    </row>
    <row r="522" spans="2:20" x14ac:dyDescent="0.2">
      <c r="B522" s="3"/>
      <c r="S522" s="3"/>
      <c r="T522" s="17"/>
    </row>
    <row r="523" spans="2:20" x14ac:dyDescent="0.2">
      <c r="B523" s="3"/>
      <c r="S523" s="3"/>
      <c r="T523" s="17"/>
    </row>
    <row r="524" spans="2:20" x14ac:dyDescent="0.2">
      <c r="B524" s="3"/>
      <c r="S524" s="3"/>
      <c r="T524" s="17"/>
    </row>
    <row r="525" spans="2:20" x14ac:dyDescent="0.2">
      <c r="B525" s="3"/>
      <c r="S525" s="3"/>
      <c r="T525" s="17"/>
    </row>
    <row r="526" spans="2:20" x14ac:dyDescent="0.2">
      <c r="B526" s="3"/>
      <c r="S526" s="3"/>
      <c r="T526" s="17"/>
    </row>
    <row r="527" spans="2:20" x14ac:dyDescent="0.2">
      <c r="B527" s="3"/>
      <c r="S527" s="3"/>
      <c r="T527" s="17"/>
    </row>
    <row r="528" spans="2:20" x14ac:dyDescent="0.2">
      <c r="B528" s="3"/>
      <c r="S528" s="3"/>
      <c r="T528" s="17"/>
    </row>
    <row r="529" spans="2:20" x14ac:dyDescent="0.2">
      <c r="B529" s="3"/>
      <c r="S529" s="3"/>
      <c r="T529" s="17"/>
    </row>
    <row r="530" spans="2:20" x14ac:dyDescent="0.2">
      <c r="B530" s="3"/>
      <c r="S530" s="3"/>
      <c r="T530" s="17"/>
    </row>
    <row r="531" spans="2:20" x14ac:dyDescent="0.2">
      <c r="B531" s="3"/>
      <c r="S531" s="3"/>
      <c r="T531" s="17"/>
    </row>
    <row r="532" spans="2:20" x14ac:dyDescent="0.2">
      <c r="B532" s="3"/>
      <c r="S532" s="3"/>
      <c r="T532" s="17"/>
    </row>
    <row r="533" spans="2:20" x14ac:dyDescent="0.2">
      <c r="B533" s="3"/>
      <c r="S533" s="3"/>
      <c r="T533" s="17"/>
    </row>
    <row r="534" spans="2:20" x14ac:dyDescent="0.2">
      <c r="B534" s="3"/>
      <c r="S534" s="3"/>
      <c r="T534" s="17"/>
    </row>
    <row r="535" spans="2:20" x14ac:dyDescent="0.2">
      <c r="B535" s="3"/>
      <c r="S535" s="3"/>
      <c r="T535" s="17"/>
    </row>
    <row r="536" spans="2:20" x14ac:dyDescent="0.2">
      <c r="B536" s="3"/>
      <c r="S536" s="3"/>
      <c r="T536" s="17"/>
    </row>
    <row r="537" spans="2:20" x14ac:dyDescent="0.2">
      <c r="B537" s="3"/>
      <c r="S537" s="3"/>
      <c r="T537" s="17"/>
    </row>
    <row r="538" spans="2:20" x14ac:dyDescent="0.2">
      <c r="B538" s="3"/>
      <c r="S538" s="3"/>
      <c r="T538" s="17"/>
    </row>
    <row r="539" spans="2:20" x14ac:dyDescent="0.2">
      <c r="B539" s="3"/>
      <c r="S539" s="3"/>
      <c r="T539" s="17"/>
    </row>
    <row r="540" spans="2:20" x14ac:dyDescent="0.2">
      <c r="B540" s="3"/>
      <c r="S540" s="3"/>
      <c r="T540" s="17"/>
    </row>
    <row r="541" spans="2:20" x14ac:dyDescent="0.2">
      <c r="B541" s="3"/>
      <c r="S541" s="3"/>
      <c r="T541" s="17"/>
    </row>
    <row r="542" spans="2:20" x14ac:dyDescent="0.2">
      <c r="B542" s="3"/>
      <c r="S542" s="3"/>
      <c r="T542" s="17"/>
    </row>
    <row r="543" spans="2:20" x14ac:dyDescent="0.2">
      <c r="B543" s="3"/>
      <c r="S543" s="3"/>
      <c r="T543" s="17"/>
    </row>
    <row r="544" spans="2:20" x14ac:dyDescent="0.2">
      <c r="B544" s="3"/>
      <c r="S544" s="3"/>
      <c r="T544" s="17"/>
    </row>
    <row r="545" spans="2:20" x14ac:dyDescent="0.2">
      <c r="B545" s="3"/>
      <c r="S545" s="3"/>
      <c r="T545" s="17"/>
    </row>
    <row r="546" spans="2:20" x14ac:dyDescent="0.2">
      <c r="B546" s="3"/>
      <c r="S546" s="3"/>
      <c r="T546" s="17"/>
    </row>
    <row r="547" spans="2:20" x14ac:dyDescent="0.2">
      <c r="B547" s="3"/>
      <c r="S547" s="3"/>
      <c r="T547" s="17"/>
    </row>
    <row r="548" spans="2:20" x14ac:dyDescent="0.2">
      <c r="B548" s="3"/>
      <c r="S548" s="3"/>
      <c r="T548" s="17"/>
    </row>
    <row r="549" spans="2:20" x14ac:dyDescent="0.2">
      <c r="B549" s="3"/>
      <c r="S549" s="3"/>
      <c r="T549" s="17"/>
    </row>
    <row r="550" spans="2:20" x14ac:dyDescent="0.2">
      <c r="B550" s="3"/>
      <c r="S550" s="3"/>
      <c r="T550" s="17"/>
    </row>
    <row r="551" spans="2:20" x14ac:dyDescent="0.2">
      <c r="B551" s="3"/>
      <c r="S551" s="3"/>
      <c r="T551" s="17"/>
    </row>
    <row r="552" spans="2:20" x14ac:dyDescent="0.2">
      <c r="B552" s="3"/>
      <c r="S552" s="3"/>
      <c r="T552" s="17"/>
    </row>
    <row r="553" spans="2:20" x14ac:dyDescent="0.2">
      <c r="B553" s="3"/>
      <c r="S553" s="3"/>
      <c r="T553" s="17"/>
    </row>
    <row r="554" spans="2:20" x14ac:dyDescent="0.2">
      <c r="B554" s="3"/>
      <c r="S554" s="3"/>
      <c r="T554" s="17"/>
    </row>
    <row r="555" spans="2:20" x14ac:dyDescent="0.2">
      <c r="B555" s="3"/>
      <c r="S555" s="3"/>
      <c r="T555" s="17"/>
    </row>
    <row r="556" spans="2:20" x14ac:dyDescent="0.2">
      <c r="B556" s="3"/>
      <c r="S556" s="3"/>
      <c r="T556" s="17"/>
    </row>
    <row r="557" spans="2:20" x14ac:dyDescent="0.2">
      <c r="B557" s="3"/>
      <c r="S557" s="3"/>
      <c r="T557" s="17"/>
    </row>
    <row r="558" spans="2:20" x14ac:dyDescent="0.2">
      <c r="B558" s="3"/>
      <c r="S558" s="3"/>
      <c r="T558" s="17"/>
    </row>
    <row r="559" spans="2:20" x14ac:dyDescent="0.2">
      <c r="B559" s="3"/>
      <c r="S559" s="3"/>
      <c r="T559" s="17"/>
    </row>
    <row r="560" spans="2:20" x14ac:dyDescent="0.2">
      <c r="B560" s="3"/>
      <c r="S560" s="3"/>
      <c r="T560" s="17"/>
    </row>
    <row r="561" spans="2:20" x14ac:dyDescent="0.2">
      <c r="B561" s="3"/>
      <c r="S561" s="3"/>
      <c r="T561" s="17"/>
    </row>
    <row r="562" spans="2:20" x14ac:dyDescent="0.2">
      <c r="B562" s="3"/>
      <c r="S562" s="3"/>
      <c r="T562" s="17"/>
    </row>
    <row r="563" spans="2:20" x14ac:dyDescent="0.2">
      <c r="B563" s="3"/>
      <c r="S563" s="3"/>
      <c r="T563" s="17"/>
    </row>
    <row r="564" spans="2:20" x14ac:dyDescent="0.2">
      <c r="B564" s="3"/>
      <c r="S564" s="3"/>
      <c r="T564" s="17"/>
    </row>
    <row r="565" spans="2:20" x14ac:dyDescent="0.2">
      <c r="B565" s="3"/>
      <c r="S565" s="3"/>
      <c r="T565" s="17"/>
    </row>
    <row r="566" spans="2:20" x14ac:dyDescent="0.2">
      <c r="B566" s="3"/>
      <c r="S566" s="3"/>
      <c r="T566" s="17"/>
    </row>
    <row r="567" spans="2:20" x14ac:dyDescent="0.2">
      <c r="B567" s="3"/>
      <c r="S567" s="3"/>
      <c r="T567" s="17"/>
    </row>
    <row r="568" spans="2:20" x14ac:dyDescent="0.2">
      <c r="B568" s="3"/>
      <c r="S568" s="3"/>
      <c r="T568" s="17"/>
    </row>
    <row r="569" spans="2:20" x14ac:dyDescent="0.2">
      <c r="B569" s="3"/>
      <c r="S569" s="3"/>
      <c r="T569" s="17"/>
    </row>
    <row r="570" spans="2:20" x14ac:dyDescent="0.2">
      <c r="B570" s="3"/>
      <c r="S570" s="3"/>
      <c r="T570" s="17"/>
    </row>
    <row r="571" spans="2:20" x14ac:dyDescent="0.2">
      <c r="B571" s="3"/>
      <c r="S571" s="3"/>
      <c r="T571" s="17"/>
    </row>
    <row r="572" spans="2:20" x14ac:dyDescent="0.2">
      <c r="B572" s="3"/>
      <c r="S572" s="3"/>
      <c r="T572" s="17"/>
    </row>
    <row r="573" spans="2:20" x14ac:dyDescent="0.2">
      <c r="B573" s="3"/>
      <c r="S573" s="3"/>
      <c r="T573" s="17"/>
    </row>
    <row r="574" spans="2:20" x14ac:dyDescent="0.2">
      <c r="B574" s="3"/>
      <c r="S574" s="3"/>
      <c r="T574" s="17"/>
    </row>
    <row r="575" spans="2:20" x14ac:dyDescent="0.2">
      <c r="B575" s="3"/>
      <c r="S575" s="3"/>
      <c r="T575" s="17"/>
    </row>
    <row r="576" spans="2:20" x14ac:dyDescent="0.2">
      <c r="B576" s="3"/>
      <c r="S576" s="3"/>
      <c r="T576" s="17"/>
    </row>
    <row r="577" spans="2:20" x14ac:dyDescent="0.2">
      <c r="B577" s="3"/>
      <c r="S577" s="3"/>
      <c r="T577" s="17"/>
    </row>
    <row r="578" spans="2:20" x14ac:dyDescent="0.2">
      <c r="B578" s="3"/>
      <c r="S578" s="3"/>
      <c r="T578" s="17"/>
    </row>
    <row r="579" spans="2:20" x14ac:dyDescent="0.2">
      <c r="B579" s="3"/>
      <c r="S579" s="3"/>
      <c r="T579" s="17"/>
    </row>
    <row r="580" spans="2:20" x14ac:dyDescent="0.2">
      <c r="B580" s="3"/>
      <c r="S580" s="3"/>
      <c r="T580" s="17"/>
    </row>
    <row r="581" spans="2:20" x14ac:dyDescent="0.2">
      <c r="B581" s="3"/>
      <c r="S581" s="3"/>
      <c r="T581" s="17"/>
    </row>
    <row r="582" spans="2:20" x14ac:dyDescent="0.2">
      <c r="B582" s="3"/>
      <c r="S582" s="3"/>
      <c r="T582" s="17"/>
    </row>
    <row r="583" spans="2:20" x14ac:dyDescent="0.2">
      <c r="B583" s="3"/>
      <c r="S583" s="3"/>
      <c r="T583" s="17"/>
    </row>
    <row r="584" spans="2:20" x14ac:dyDescent="0.2">
      <c r="B584" s="3"/>
      <c r="S584" s="3"/>
      <c r="T584" s="17"/>
    </row>
    <row r="585" spans="2:20" x14ac:dyDescent="0.2">
      <c r="B585" s="3"/>
      <c r="S585" s="3"/>
      <c r="T585" s="17"/>
    </row>
    <row r="586" spans="2:20" x14ac:dyDescent="0.2">
      <c r="B586" s="3"/>
      <c r="S586" s="3"/>
      <c r="T586" s="17"/>
    </row>
    <row r="587" spans="2:20" x14ac:dyDescent="0.2">
      <c r="B587" s="3"/>
      <c r="S587" s="3"/>
      <c r="T587" s="17"/>
    </row>
    <row r="588" spans="2:20" x14ac:dyDescent="0.2">
      <c r="B588" s="3"/>
      <c r="S588" s="3"/>
      <c r="T588" s="17"/>
    </row>
    <row r="589" spans="2:20" x14ac:dyDescent="0.2">
      <c r="B589" s="3"/>
      <c r="S589" s="3"/>
      <c r="T589" s="17"/>
    </row>
    <row r="590" spans="2:20" x14ac:dyDescent="0.2">
      <c r="B590" s="3"/>
      <c r="S590" s="3"/>
      <c r="T590" s="17"/>
    </row>
    <row r="591" spans="2:20" x14ac:dyDescent="0.2">
      <c r="B591" s="3"/>
      <c r="S591" s="3"/>
      <c r="T591" s="17"/>
    </row>
    <row r="592" spans="2:20" x14ac:dyDescent="0.2">
      <c r="B592" s="3"/>
      <c r="S592" s="3"/>
      <c r="T592" s="17"/>
    </row>
    <row r="593" spans="2:20" x14ac:dyDescent="0.2">
      <c r="B593" s="3"/>
      <c r="S593" s="3"/>
      <c r="T593" s="17"/>
    </row>
    <row r="594" spans="2:20" x14ac:dyDescent="0.2">
      <c r="B594" s="3"/>
      <c r="S594" s="3"/>
      <c r="T594" s="17"/>
    </row>
    <row r="595" spans="2:20" x14ac:dyDescent="0.2">
      <c r="B595" s="3"/>
      <c r="S595" s="3"/>
      <c r="T595" s="17"/>
    </row>
    <row r="596" spans="2:20" x14ac:dyDescent="0.2">
      <c r="B596" s="3"/>
      <c r="S596" s="3"/>
      <c r="T596" s="17"/>
    </row>
    <row r="597" spans="2:20" x14ac:dyDescent="0.2">
      <c r="B597" s="3"/>
      <c r="S597" s="3"/>
      <c r="T597" s="17"/>
    </row>
    <row r="598" spans="2:20" x14ac:dyDescent="0.2">
      <c r="B598" s="3"/>
      <c r="S598" s="3"/>
      <c r="T598" s="17"/>
    </row>
    <row r="599" spans="2:20" x14ac:dyDescent="0.2">
      <c r="B599" s="3"/>
      <c r="S599" s="3"/>
      <c r="T599" s="17"/>
    </row>
    <row r="600" spans="2:20" x14ac:dyDescent="0.2">
      <c r="B600" s="3"/>
      <c r="S600" s="3"/>
      <c r="T600" s="17"/>
    </row>
    <row r="601" spans="2:20" x14ac:dyDescent="0.2">
      <c r="B601" s="3"/>
      <c r="S601" s="3"/>
      <c r="T601" s="17"/>
    </row>
    <row r="602" spans="2:20" x14ac:dyDescent="0.2">
      <c r="B602" s="3"/>
      <c r="S602" s="3"/>
      <c r="T602" s="17"/>
    </row>
    <row r="603" spans="2:20" x14ac:dyDescent="0.2">
      <c r="B603" s="3"/>
      <c r="S603" s="3"/>
      <c r="T603" s="17"/>
    </row>
    <row r="604" spans="2:20" x14ac:dyDescent="0.2">
      <c r="B604" s="3"/>
      <c r="S604" s="3"/>
      <c r="T604" s="17"/>
    </row>
    <row r="605" spans="2:20" x14ac:dyDescent="0.2">
      <c r="B605" s="3"/>
      <c r="S605" s="3"/>
      <c r="T605" s="17"/>
    </row>
    <row r="606" spans="2:20" x14ac:dyDescent="0.2">
      <c r="B606" s="3"/>
      <c r="S606" s="3"/>
      <c r="T606" s="17"/>
    </row>
    <row r="607" spans="2:20" x14ac:dyDescent="0.2">
      <c r="B607" s="3"/>
      <c r="S607" s="3"/>
      <c r="T607" s="17"/>
    </row>
    <row r="608" spans="2:20" x14ac:dyDescent="0.2">
      <c r="B608" s="3"/>
      <c r="S608" s="3"/>
      <c r="T608" s="17"/>
    </row>
    <row r="609" spans="2:20" x14ac:dyDescent="0.2">
      <c r="B609" s="3"/>
      <c r="S609" s="3"/>
      <c r="T609" s="17"/>
    </row>
    <row r="610" spans="2:20" x14ac:dyDescent="0.2">
      <c r="B610" s="3"/>
      <c r="S610" s="3"/>
      <c r="T610" s="17"/>
    </row>
    <row r="611" spans="2:20" x14ac:dyDescent="0.2">
      <c r="B611" s="3"/>
      <c r="S611" s="3"/>
      <c r="T611" s="17"/>
    </row>
    <row r="612" spans="2:20" x14ac:dyDescent="0.2">
      <c r="B612" s="3"/>
      <c r="S612" s="3"/>
      <c r="T612" s="17"/>
    </row>
    <row r="613" spans="2:20" x14ac:dyDescent="0.2">
      <c r="B613" s="3"/>
      <c r="S613" s="3"/>
      <c r="T613" s="17"/>
    </row>
    <row r="614" spans="2:20" x14ac:dyDescent="0.2">
      <c r="B614" s="3"/>
      <c r="S614" s="3"/>
      <c r="T614" s="17"/>
    </row>
    <row r="615" spans="2:20" x14ac:dyDescent="0.2">
      <c r="B615" s="3"/>
      <c r="S615" s="3"/>
      <c r="T615" s="17"/>
    </row>
    <row r="616" spans="2:20" x14ac:dyDescent="0.2">
      <c r="B616" s="3"/>
      <c r="S616" s="3"/>
      <c r="T616" s="17"/>
    </row>
    <row r="617" spans="2:20" x14ac:dyDescent="0.2">
      <c r="B617" s="3"/>
      <c r="S617" s="3"/>
      <c r="T617" s="17"/>
    </row>
    <row r="618" spans="2:20" x14ac:dyDescent="0.2">
      <c r="B618" s="3"/>
      <c r="S618" s="3"/>
      <c r="T618" s="17"/>
    </row>
    <row r="619" spans="2:20" x14ac:dyDescent="0.2">
      <c r="B619" s="3"/>
      <c r="S619" s="3"/>
      <c r="T619" s="17"/>
    </row>
    <row r="620" spans="2:20" x14ac:dyDescent="0.2">
      <c r="B620" s="3"/>
      <c r="S620" s="3"/>
      <c r="T620" s="17"/>
    </row>
    <row r="621" spans="2:20" x14ac:dyDescent="0.2">
      <c r="B621" s="3"/>
      <c r="S621" s="3"/>
      <c r="T621" s="17"/>
    </row>
    <row r="622" spans="2:20" x14ac:dyDescent="0.2">
      <c r="B622" s="3"/>
      <c r="S622" s="3"/>
      <c r="T622" s="17"/>
    </row>
    <row r="623" spans="2:20" x14ac:dyDescent="0.2">
      <c r="B623" s="3"/>
      <c r="S623" s="3"/>
      <c r="T623" s="17"/>
    </row>
    <row r="624" spans="2:20" x14ac:dyDescent="0.2">
      <c r="B624" s="3"/>
      <c r="S624" s="3"/>
      <c r="T624" s="17"/>
    </row>
    <row r="625" spans="2:20" x14ac:dyDescent="0.2">
      <c r="B625" s="3"/>
      <c r="S625" s="3"/>
      <c r="T625" s="17"/>
    </row>
    <row r="626" spans="2:20" x14ac:dyDescent="0.2">
      <c r="B626" s="3"/>
      <c r="S626" s="3"/>
      <c r="T626" s="17"/>
    </row>
    <row r="627" spans="2:20" x14ac:dyDescent="0.2">
      <c r="B627" s="3"/>
      <c r="S627" s="3"/>
      <c r="T627" s="17"/>
    </row>
    <row r="628" spans="2:20" x14ac:dyDescent="0.2">
      <c r="B628" s="3"/>
      <c r="S628" s="3"/>
      <c r="T628" s="17"/>
    </row>
    <row r="629" spans="2:20" x14ac:dyDescent="0.2">
      <c r="B629" s="3"/>
      <c r="S629" s="3"/>
      <c r="T629" s="17"/>
    </row>
    <row r="630" spans="2:20" x14ac:dyDescent="0.2">
      <c r="B630" s="3"/>
      <c r="S630" s="3"/>
      <c r="T630" s="17"/>
    </row>
    <row r="631" spans="2:20" x14ac:dyDescent="0.2">
      <c r="B631" s="3"/>
      <c r="S631" s="3"/>
      <c r="T631" s="17"/>
    </row>
    <row r="632" spans="2:20" x14ac:dyDescent="0.2">
      <c r="B632" s="3"/>
      <c r="S632" s="3"/>
      <c r="T632" s="17"/>
    </row>
    <row r="633" spans="2:20" x14ac:dyDescent="0.2">
      <c r="B633" s="3"/>
      <c r="S633" s="3"/>
      <c r="T633" s="17"/>
    </row>
    <row r="634" spans="2:20" x14ac:dyDescent="0.2">
      <c r="B634" s="3"/>
      <c r="S634" s="3"/>
      <c r="T634" s="17"/>
    </row>
    <row r="635" spans="2:20" x14ac:dyDescent="0.2">
      <c r="B635" s="3"/>
      <c r="S635" s="3"/>
      <c r="T635" s="17"/>
    </row>
    <row r="636" spans="2:20" x14ac:dyDescent="0.2">
      <c r="B636" s="3"/>
      <c r="S636" s="3"/>
      <c r="T636" s="17"/>
    </row>
    <row r="637" spans="2:20" x14ac:dyDescent="0.2">
      <c r="B637" s="3"/>
      <c r="S637" s="3"/>
      <c r="T637" s="17"/>
    </row>
    <row r="638" spans="2:20" x14ac:dyDescent="0.2">
      <c r="B638" s="3"/>
      <c r="S638" s="3"/>
      <c r="T638" s="17"/>
    </row>
    <row r="639" spans="2:20" x14ac:dyDescent="0.2">
      <c r="B639" s="3"/>
      <c r="S639" s="3"/>
      <c r="T639" s="17"/>
    </row>
    <row r="640" spans="2:20" x14ac:dyDescent="0.2">
      <c r="B640" s="3"/>
      <c r="S640" s="3"/>
      <c r="T640" s="17"/>
    </row>
    <row r="641" spans="2:20" x14ac:dyDescent="0.2">
      <c r="B641" s="3"/>
      <c r="S641" s="3"/>
      <c r="T641" s="17"/>
    </row>
    <row r="642" spans="2:20" x14ac:dyDescent="0.2">
      <c r="B642" s="3"/>
      <c r="S642" s="3"/>
      <c r="T642" s="17"/>
    </row>
    <row r="643" spans="2:20" x14ac:dyDescent="0.2">
      <c r="B643" s="3"/>
      <c r="S643" s="3"/>
      <c r="T643" s="17"/>
    </row>
    <row r="644" spans="2:20" x14ac:dyDescent="0.2">
      <c r="B644" s="3"/>
      <c r="S644" s="3"/>
      <c r="T644" s="17"/>
    </row>
    <row r="645" spans="2:20" x14ac:dyDescent="0.2">
      <c r="B645" s="3"/>
      <c r="S645" s="3"/>
      <c r="T645" s="17"/>
    </row>
    <row r="646" spans="2:20" x14ac:dyDescent="0.2">
      <c r="B646" s="3"/>
      <c r="S646" s="3"/>
      <c r="T646" s="17"/>
    </row>
    <row r="647" spans="2:20" x14ac:dyDescent="0.2">
      <c r="B647" s="3"/>
      <c r="S647" s="3"/>
      <c r="T647" s="17"/>
    </row>
    <row r="648" spans="2:20" x14ac:dyDescent="0.2">
      <c r="B648" s="3"/>
      <c r="S648" s="3"/>
      <c r="T648" s="17"/>
    </row>
    <row r="649" spans="2:20" x14ac:dyDescent="0.2">
      <c r="B649" s="3"/>
      <c r="S649" s="3"/>
      <c r="T649" s="17"/>
    </row>
    <row r="650" spans="2:20" x14ac:dyDescent="0.2">
      <c r="B650" s="3"/>
      <c r="S650" s="3"/>
      <c r="T650" s="17"/>
    </row>
    <row r="651" spans="2:20" x14ac:dyDescent="0.2">
      <c r="B651" s="3"/>
      <c r="S651" s="3"/>
      <c r="T651" s="17"/>
    </row>
    <row r="652" spans="2:20" x14ac:dyDescent="0.2">
      <c r="B652" s="3"/>
      <c r="S652" s="3"/>
      <c r="T652" s="17"/>
    </row>
    <row r="653" spans="2:20" x14ac:dyDescent="0.2">
      <c r="B653" s="3"/>
      <c r="S653" s="3"/>
      <c r="T653" s="17"/>
    </row>
    <row r="654" spans="2:20" x14ac:dyDescent="0.2">
      <c r="B654" s="3"/>
      <c r="S654" s="3"/>
      <c r="T654" s="17"/>
    </row>
    <row r="655" spans="2:20" x14ac:dyDescent="0.2">
      <c r="B655" s="3"/>
      <c r="S655" s="3"/>
      <c r="T655" s="17"/>
    </row>
    <row r="656" spans="2:20" x14ac:dyDescent="0.2">
      <c r="B656" s="3"/>
      <c r="S656" s="3"/>
      <c r="T656" s="17"/>
    </row>
    <row r="657" spans="2:20" x14ac:dyDescent="0.2">
      <c r="B657" s="3"/>
      <c r="S657" s="3"/>
      <c r="T657" s="17"/>
    </row>
    <row r="658" spans="2:20" x14ac:dyDescent="0.2">
      <c r="B658" s="3"/>
      <c r="S658" s="3"/>
      <c r="T658" s="17"/>
    </row>
    <row r="659" spans="2:20" x14ac:dyDescent="0.2">
      <c r="B659" s="3"/>
      <c r="S659" s="3"/>
      <c r="T659" s="17"/>
    </row>
    <row r="660" spans="2:20" x14ac:dyDescent="0.2">
      <c r="B660" s="3"/>
      <c r="S660" s="3"/>
      <c r="T660" s="17"/>
    </row>
    <row r="661" spans="2:20" x14ac:dyDescent="0.2">
      <c r="B661" s="3"/>
      <c r="S661" s="3"/>
      <c r="T661" s="17"/>
    </row>
    <row r="662" spans="2:20" x14ac:dyDescent="0.2">
      <c r="B662" s="3"/>
      <c r="S662" s="3"/>
      <c r="T662" s="17"/>
    </row>
    <row r="663" spans="2:20" x14ac:dyDescent="0.2">
      <c r="B663" s="3"/>
      <c r="S663" s="3"/>
      <c r="T663" s="17"/>
    </row>
    <row r="664" spans="2:20" x14ac:dyDescent="0.2">
      <c r="B664" s="3"/>
      <c r="S664" s="3"/>
      <c r="T664" s="17"/>
    </row>
    <row r="665" spans="2:20" x14ac:dyDescent="0.2">
      <c r="B665" s="3"/>
      <c r="S665" s="3"/>
      <c r="T665" s="17"/>
    </row>
    <row r="666" spans="2:20" x14ac:dyDescent="0.2">
      <c r="B666" s="3"/>
      <c r="S666" s="3"/>
      <c r="T666" s="17"/>
    </row>
    <row r="667" spans="2:20" x14ac:dyDescent="0.2">
      <c r="B667" s="3"/>
      <c r="S667" s="3"/>
      <c r="T667" s="17"/>
    </row>
    <row r="668" spans="2:20" x14ac:dyDescent="0.2">
      <c r="B668" s="3"/>
      <c r="S668" s="3"/>
      <c r="T668" s="17"/>
    </row>
    <row r="669" spans="2:20" x14ac:dyDescent="0.2">
      <c r="B669" s="3"/>
      <c r="S669" s="3"/>
      <c r="T669" s="17"/>
    </row>
    <row r="670" spans="2:20" x14ac:dyDescent="0.2">
      <c r="B670" s="3"/>
      <c r="S670" s="3"/>
      <c r="T670" s="17"/>
    </row>
    <row r="671" spans="2:20" x14ac:dyDescent="0.2">
      <c r="B671" s="3"/>
      <c r="S671" s="3"/>
      <c r="T671" s="17"/>
    </row>
    <row r="672" spans="2:20" x14ac:dyDescent="0.2">
      <c r="B672" s="3"/>
      <c r="S672" s="3"/>
      <c r="T672" s="17"/>
    </row>
    <row r="673" spans="2:20" x14ac:dyDescent="0.2">
      <c r="B673" s="3"/>
      <c r="S673" s="3"/>
      <c r="T673" s="17"/>
    </row>
    <row r="674" spans="2:20" x14ac:dyDescent="0.2">
      <c r="B674" s="3"/>
      <c r="S674" s="3"/>
      <c r="T674" s="17"/>
    </row>
    <row r="675" spans="2:20" x14ac:dyDescent="0.2">
      <c r="B675" s="3"/>
      <c r="S675" s="3"/>
      <c r="T675" s="17"/>
    </row>
    <row r="676" spans="2:20" x14ac:dyDescent="0.2">
      <c r="B676" s="3"/>
      <c r="S676" s="3"/>
      <c r="T676" s="17"/>
    </row>
    <row r="677" spans="2:20" x14ac:dyDescent="0.2">
      <c r="B677" s="3"/>
      <c r="S677" s="3"/>
      <c r="T677" s="17"/>
    </row>
    <row r="678" spans="2:20" x14ac:dyDescent="0.2">
      <c r="B678" s="3"/>
      <c r="S678" s="3"/>
      <c r="T678" s="17"/>
    </row>
    <row r="679" spans="2:20" x14ac:dyDescent="0.2">
      <c r="B679" s="3"/>
      <c r="S679" s="3"/>
      <c r="T679" s="17"/>
    </row>
    <row r="680" spans="2:20" x14ac:dyDescent="0.2">
      <c r="B680" s="3"/>
      <c r="S680" s="3"/>
      <c r="T680" s="17"/>
    </row>
    <row r="681" spans="2:20" x14ac:dyDescent="0.2">
      <c r="B681" s="3"/>
      <c r="S681" s="3"/>
      <c r="T681" s="17"/>
    </row>
    <row r="682" spans="2:20" x14ac:dyDescent="0.2">
      <c r="B682" s="3"/>
      <c r="S682" s="3"/>
      <c r="T682" s="17"/>
    </row>
    <row r="683" spans="2:20" x14ac:dyDescent="0.2">
      <c r="B683" s="3"/>
      <c r="S683" s="3"/>
      <c r="T683" s="17"/>
    </row>
    <row r="684" spans="2:20" x14ac:dyDescent="0.2">
      <c r="B684" s="3"/>
      <c r="S684" s="3"/>
      <c r="T684" s="17"/>
    </row>
    <row r="685" spans="2:20" x14ac:dyDescent="0.2">
      <c r="B685" s="3"/>
      <c r="S685" s="3"/>
      <c r="T685" s="17"/>
    </row>
    <row r="686" spans="2:20" x14ac:dyDescent="0.2">
      <c r="B686" s="3"/>
      <c r="S686" s="3"/>
      <c r="T686" s="17"/>
    </row>
    <row r="687" spans="2:20" x14ac:dyDescent="0.2">
      <c r="B687" s="3"/>
      <c r="S687" s="3"/>
      <c r="T687" s="17"/>
    </row>
    <row r="688" spans="2:20" x14ac:dyDescent="0.2">
      <c r="B688" s="3"/>
      <c r="S688" s="3"/>
      <c r="T688" s="17"/>
    </row>
    <row r="689" spans="2:20" x14ac:dyDescent="0.2">
      <c r="B689" s="3"/>
      <c r="S689" s="3"/>
      <c r="T689" s="17"/>
    </row>
    <row r="690" spans="2:20" x14ac:dyDescent="0.2">
      <c r="B690" s="3"/>
      <c r="S690" s="3"/>
      <c r="T690" s="17"/>
    </row>
    <row r="691" spans="2:20" x14ac:dyDescent="0.2">
      <c r="B691" s="3"/>
      <c r="S691" s="3"/>
      <c r="T691" s="17"/>
    </row>
    <row r="692" spans="2:20" x14ac:dyDescent="0.2">
      <c r="B692" s="3"/>
      <c r="S692" s="3"/>
      <c r="T692" s="17"/>
    </row>
    <row r="693" spans="2:20" x14ac:dyDescent="0.2">
      <c r="B693" s="3"/>
      <c r="S693" s="3"/>
      <c r="T693" s="17"/>
    </row>
    <row r="694" spans="2:20" x14ac:dyDescent="0.2">
      <c r="B694" s="3"/>
      <c r="S694" s="3"/>
      <c r="T694" s="17"/>
    </row>
    <row r="695" spans="2:20" x14ac:dyDescent="0.2">
      <c r="B695" s="3"/>
      <c r="S695" s="3"/>
      <c r="T695" s="17"/>
    </row>
    <row r="696" spans="2:20" x14ac:dyDescent="0.2">
      <c r="B696" s="3"/>
      <c r="S696" s="3"/>
      <c r="T696" s="17"/>
    </row>
    <row r="697" spans="2:20" x14ac:dyDescent="0.2">
      <c r="B697" s="3"/>
      <c r="S697" s="3"/>
      <c r="T697" s="17"/>
    </row>
    <row r="698" spans="2:20" x14ac:dyDescent="0.2">
      <c r="B698" s="3"/>
      <c r="S698" s="3"/>
      <c r="T698" s="17"/>
    </row>
    <row r="699" spans="2:20" x14ac:dyDescent="0.2">
      <c r="B699" s="3"/>
      <c r="S699" s="3"/>
      <c r="T699" s="17"/>
    </row>
    <row r="700" spans="2:20" x14ac:dyDescent="0.2">
      <c r="B700" s="3"/>
      <c r="S700" s="3"/>
      <c r="T700" s="17"/>
    </row>
    <row r="701" spans="2:20" x14ac:dyDescent="0.2">
      <c r="B701" s="3"/>
      <c r="S701" s="3"/>
      <c r="T701" s="17"/>
    </row>
    <row r="702" spans="2:20" x14ac:dyDescent="0.2">
      <c r="B702" s="3"/>
      <c r="S702" s="3"/>
      <c r="T702" s="17"/>
    </row>
    <row r="703" spans="2:20" x14ac:dyDescent="0.2">
      <c r="B703" s="3"/>
      <c r="S703" s="3"/>
      <c r="T703" s="17"/>
    </row>
    <row r="704" spans="2:20" x14ac:dyDescent="0.2">
      <c r="B704" s="3"/>
      <c r="S704" s="3"/>
      <c r="T704" s="17"/>
    </row>
    <row r="705" spans="2:20" x14ac:dyDescent="0.2">
      <c r="B705" s="3"/>
      <c r="S705" s="3"/>
      <c r="T705" s="17"/>
    </row>
    <row r="706" spans="2:20" x14ac:dyDescent="0.2">
      <c r="B706" s="3"/>
      <c r="S706" s="3"/>
      <c r="T706" s="17"/>
    </row>
    <row r="707" spans="2:20" x14ac:dyDescent="0.2">
      <c r="B707" s="3"/>
      <c r="S707" s="3"/>
      <c r="T707" s="17"/>
    </row>
    <row r="708" spans="2:20" x14ac:dyDescent="0.2">
      <c r="B708" s="3"/>
      <c r="S708" s="3"/>
      <c r="T708" s="17"/>
    </row>
    <row r="709" spans="2:20" x14ac:dyDescent="0.2">
      <c r="B709" s="3"/>
      <c r="S709" s="3"/>
      <c r="T709" s="17"/>
    </row>
    <row r="710" spans="2:20" x14ac:dyDescent="0.2">
      <c r="B710" s="3"/>
      <c r="S710" s="3"/>
      <c r="T710" s="17"/>
    </row>
    <row r="711" spans="2:20" x14ac:dyDescent="0.2">
      <c r="B711" s="3"/>
      <c r="S711" s="3"/>
      <c r="T711" s="17"/>
    </row>
    <row r="712" spans="2:20" x14ac:dyDescent="0.2">
      <c r="B712" s="3"/>
      <c r="S712" s="3"/>
      <c r="T712" s="17"/>
    </row>
    <row r="713" spans="2:20" x14ac:dyDescent="0.2">
      <c r="B713" s="3"/>
      <c r="S713" s="3"/>
      <c r="T713" s="17"/>
    </row>
    <row r="714" spans="2:20" x14ac:dyDescent="0.2">
      <c r="B714" s="3"/>
      <c r="S714" s="3"/>
      <c r="T714" s="17"/>
    </row>
    <row r="715" spans="2:20" x14ac:dyDescent="0.2">
      <c r="B715" s="3"/>
      <c r="S715" s="3"/>
      <c r="T715" s="17"/>
    </row>
    <row r="716" spans="2:20" x14ac:dyDescent="0.2">
      <c r="B716" s="3"/>
      <c r="S716" s="3"/>
      <c r="T716" s="17"/>
    </row>
    <row r="717" spans="2:20" x14ac:dyDescent="0.2">
      <c r="B717" s="3"/>
      <c r="S717" s="3"/>
      <c r="T717" s="17"/>
    </row>
    <row r="718" spans="2:20" x14ac:dyDescent="0.2">
      <c r="B718" s="3"/>
      <c r="S718" s="3"/>
      <c r="T718" s="17"/>
    </row>
    <row r="719" spans="2:20" x14ac:dyDescent="0.2">
      <c r="B719" s="3"/>
      <c r="S719" s="3"/>
      <c r="T719" s="17"/>
    </row>
    <row r="720" spans="2:20" x14ac:dyDescent="0.2">
      <c r="B720" s="3"/>
      <c r="S720" s="3"/>
      <c r="T720" s="17"/>
    </row>
    <row r="721" spans="2:20" x14ac:dyDescent="0.2">
      <c r="B721" s="3"/>
      <c r="S721" s="3"/>
      <c r="T721" s="17"/>
    </row>
    <row r="722" spans="2:20" x14ac:dyDescent="0.2">
      <c r="B722" s="3"/>
      <c r="S722" s="3"/>
      <c r="T722" s="17"/>
    </row>
    <row r="723" spans="2:20" x14ac:dyDescent="0.2">
      <c r="B723" s="3"/>
      <c r="S723" s="3"/>
      <c r="T723" s="17"/>
    </row>
    <row r="724" spans="2:20" x14ac:dyDescent="0.2">
      <c r="B724" s="3"/>
      <c r="S724" s="3"/>
      <c r="T724" s="17"/>
    </row>
    <row r="725" spans="2:20" x14ac:dyDescent="0.2">
      <c r="B725" s="3"/>
      <c r="S725" s="3"/>
      <c r="T725" s="17"/>
    </row>
    <row r="726" spans="2:20" x14ac:dyDescent="0.2">
      <c r="B726" s="3"/>
      <c r="S726" s="3"/>
      <c r="T726" s="17"/>
    </row>
    <row r="727" spans="2:20" x14ac:dyDescent="0.2">
      <c r="B727" s="3"/>
      <c r="S727" s="3"/>
      <c r="T727" s="17"/>
    </row>
    <row r="728" spans="2:20" x14ac:dyDescent="0.2">
      <c r="B728" s="3"/>
      <c r="S728" s="3"/>
      <c r="T728" s="17"/>
    </row>
    <row r="729" spans="2:20" x14ac:dyDescent="0.2">
      <c r="B729" s="3"/>
      <c r="S729" s="3"/>
      <c r="T729" s="17"/>
    </row>
    <row r="730" spans="2:20" x14ac:dyDescent="0.2">
      <c r="B730" s="3"/>
      <c r="S730" s="3"/>
      <c r="T730" s="17"/>
    </row>
    <row r="731" spans="2:20" x14ac:dyDescent="0.2">
      <c r="B731" s="3"/>
      <c r="S731" s="3"/>
      <c r="T731" s="17"/>
    </row>
    <row r="732" spans="2:20" x14ac:dyDescent="0.2">
      <c r="B732" s="3"/>
      <c r="S732" s="3"/>
      <c r="T732" s="17"/>
    </row>
    <row r="733" spans="2:20" x14ac:dyDescent="0.2">
      <c r="B733" s="3"/>
      <c r="S733" s="3"/>
      <c r="T733" s="17"/>
    </row>
    <row r="734" spans="2:20" x14ac:dyDescent="0.2">
      <c r="B734" s="3"/>
      <c r="S734" s="3"/>
      <c r="T734" s="17"/>
    </row>
    <row r="735" spans="2:20" x14ac:dyDescent="0.2">
      <c r="B735" s="3"/>
      <c r="S735" s="3"/>
      <c r="T735" s="17"/>
    </row>
    <row r="736" spans="2:20" x14ac:dyDescent="0.2">
      <c r="B736" s="3"/>
      <c r="S736" s="3"/>
      <c r="T736" s="17"/>
    </row>
    <row r="737" spans="2:20" x14ac:dyDescent="0.2">
      <c r="B737" s="3"/>
      <c r="S737" s="3"/>
      <c r="T737" s="17"/>
    </row>
    <row r="738" spans="2:20" x14ac:dyDescent="0.2">
      <c r="B738" s="3"/>
      <c r="S738" s="3"/>
      <c r="T738" s="17"/>
    </row>
    <row r="739" spans="2:20" x14ac:dyDescent="0.2">
      <c r="B739" s="3"/>
      <c r="S739" s="3"/>
      <c r="T739" s="17"/>
    </row>
    <row r="740" spans="2:20" x14ac:dyDescent="0.2">
      <c r="B740" s="3"/>
      <c r="S740" s="3"/>
      <c r="T740" s="17"/>
    </row>
    <row r="741" spans="2:20" x14ac:dyDescent="0.2">
      <c r="B741" s="3"/>
      <c r="S741" s="3"/>
      <c r="T741" s="17"/>
    </row>
    <row r="742" spans="2:20" x14ac:dyDescent="0.2">
      <c r="B742" s="3"/>
      <c r="S742" s="3"/>
      <c r="T742" s="17"/>
    </row>
    <row r="743" spans="2:20" x14ac:dyDescent="0.2">
      <c r="B743" s="3"/>
      <c r="S743" s="3"/>
      <c r="T743" s="17"/>
    </row>
    <row r="744" spans="2:20" x14ac:dyDescent="0.2">
      <c r="B744" s="3"/>
      <c r="S744" s="3"/>
      <c r="T744" s="17"/>
    </row>
    <row r="745" spans="2:20" x14ac:dyDescent="0.2">
      <c r="B745" s="3"/>
      <c r="S745" s="3"/>
      <c r="T745" s="17"/>
    </row>
    <row r="746" spans="2:20" x14ac:dyDescent="0.2">
      <c r="B746" s="3"/>
      <c r="S746" s="3"/>
      <c r="T746" s="17"/>
    </row>
    <row r="747" spans="2:20" x14ac:dyDescent="0.2">
      <c r="B747" s="3"/>
      <c r="S747" s="3"/>
      <c r="T747" s="17"/>
    </row>
    <row r="748" spans="2:20" x14ac:dyDescent="0.2">
      <c r="B748" s="3"/>
      <c r="S748" s="3"/>
      <c r="T748" s="17"/>
    </row>
    <row r="749" spans="2:20" x14ac:dyDescent="0.2">
      <c r="B749" s="3"/>
      <c r="S749" s="3"/>
      <c r="T749" s="17"/>
    </row>
    <row r="750" spans="2:20" x14ac:dyDescent="0.2">
      <c r="B750" s="3"/>
      <c r="S750" s="3"/>
      <c r="T750" s="17"/>
    </row>
    <row r="751" spans="2:20" x14ac:dyDescent="0.2">
      <c r="B751" s="3"/>
      <c r="S751" s="3"/>
      <c r="T751" s="17"/>
    </row>
    <row r="752" spans="2:20" x14ac:dyDescent="0.2">
      <c r="B752" s="3"/>
      <c r="S752" s="3"/>
      <c r="T752" s="17"/>
    </row>
    <row r="753" spans="2:20" x14ac:dyDescent="0.2">
      <c r="B753" s="3"/>
      <c r="S753" s="3"/>
      <c r="T753" s="17"/>
    </row>
    <row r="754" spans="2:20" x14ac:dyDescent="0.2">
      <c r="B754" s="3"/>
      <c r="S754" s="3"/>
      <c r="T754" s="17"/>
    </row>
    <row r="755" spans="2:20" x14ac:dyDescent="0.2">
      <c r="B755" s="3"/>
      <c r="S755" s="3"/>
      <c r="T755" s="17"/>
    </row>
    <row r="756" spans="2:20" x14ac:dyDescent="0.2">
      <c r="B756" s="3"/>
      <c r="S756" s="3"/>
      <c r="T756" s="17"/>
    </row>
    <row r="757" spans="2:20" x14ac:dyDescent="0.2">
      <c r="B757" s="3"/>
      <c r="S757" s="3"/>
      <c r="T757" s="17"/>
    </row>
    <row r="758" spans="2:20" x14ac:dyDescent="0.2">
      <c r="B758" s="3"/>
      <c r="S758" s="3"/>
      <c r="T758" s="17"/>
    </row>
    <row r="759" spans="2:20" x14ac:dyDescent="0.2">
      <c r="B759" s="3"/>
      <c r="S759" s="3"/>
      <c r="T759" s="17"/>
    </row>
    <row r="760" spans="2:20" x14ac:dyDescent="0.2">
      <c r="B760" s="3"/>
      <c r="S760" s="3"/>
      <c r="T760" s="17"/>
    </row>
    <row r="761" spans="2:20" x14ac:dyDescent="0.2">
      <c r="B761" s="3"/>
      <c r="S761" s="3"/>
      <c r="T761" s="17"/>
    </row>
    <row r="762" spans="2:20" x14ac:dyDescent="0.2">
      <c r="B762" s="3"/>
      <c r="S762" s="3"/>
      <c r="T762" s="17"/>
    </row>
    <row r="763" spans="2:20" x14ac:dyDescent="0.2">
      <c r="B763" s="3"/>
      <c r="S763" s="3"/>
      <c r="T763" s="17"/>
    </row>
    <row r="764" spans="2:20" x14ac:dyDescent="0.2">
      <c r="B764" s="3"/>
      <c r="S764" s="3"/>
      <c r="T764" s="17"/>
    </row>
    <row r="765" spans="2:20" x14ac:dyDescent="0.2">
      <c r="B765" s="3"/>
      <c r="S765" s="3"/>
      <c r="T765" s="17"/>
    </row>
    <row r="766" spans="2:20" x14ac:dyDescent="0.2">
      <c r="B766" s="3"/>
      <c r="S766" s="3"/>
      <c r="T766" s="17"/>
    </row>
    <row r="767" spans="2:20" x14ac:dyDescent="0.2">
      <c r="B767" s="3"/>
      <c r="S767" s="3"/>
      <c r="T767" s="17"/>
    </row>
    <row r="768" spans="2:20" x14ac:dyDescent="0.2">
      <c r="B768" s="3"/>
      <c r="S768" s="3"/>
      <c r="T768" s="17"/>
    </row>
    <row r="769" spans="2:20" x14ac:dyDescent="0.2">
      <c r="B769" s="3"/>
      <c r="S769" s="3"/>
      <c r="T769" s="17"/>
    </row>
    <row r="770" spans="2:20" x14ac:dyDescent="0.2">
      <c r="B770" s="3"/>
      <c r="S770" s="3"/>
      <c r="T770" s="17"/>
    </row>
    <row r="771" spans="2:20" x14ac:dyDescent="0.2">
      <c r="B771" s="3"/>
      <c r="S771" s="3"/>
      <c r="T771" s="17"/>
    </row>
    <row r="772" spans="2:20" x14ac:dyDescent="0.2">
      <c r="B772" s="3"/>
      <c r="S772" s="3"/>
      <c r="T772" s="17"/>
    </row>
    <row r="773" spans="2:20" x14ac:dyDescent="0.2">
      <c r="B773" s="3"/>
      <c r="S773" s="3"/>
      <c r="T773" s="17"/>
    </row>
    <row r="774" spans="2:20" x14ac:dyDescent="0.2">
      <c r="B774" s="3"/>
      <c r="S774" s="3"/>
      <c r="T774" s="17"/>
    </row>
    <row r="775" spans="2:20" x14ac:dyDescent="0.2">
      <c r="B775" s="3"/>
      <c r="S775" s="3"/>
      <c r="T775" s="17"/>
    </row>
    <row r="776" spans="2:20" x14ac:dyDescent="0.2">
      <c r="B776" s="3"/>
      <c r="S776" s="3"/>
      <c r="T776" s="17"/>
    </row>
    <row r="777" spans="2:20" x14ac:dyDescent="0.2">
      <c r="B777" s="3"/>
      <c r="S777" s="3"/>
      <c r="T777" s="17"/>
    </row>
    <row r="778" spans="2:20" x14ac:dyDescent="0.2">
      <c r="B778" s="3"/>
      <c r="S778" s="3"/>
      <c r="T778" s="17"/>
    </row>
    <row r="779" spans="2:20" x14ac:dyDescent="0.2">
      <c r="B779" s="3"/>
      <c r="S779" s="3"/>
      <c r="T779" s="17"/>
    </row>
    <row r="780" spans="2:20" x14ac:dyDescent="0.2">
      <c r="B780" s="3"/>
      <c r="S780" s="3"/>
      <c r="T780" s="17"/>
    </row>
    <row r="781" spans="2:20" x14ac:dyDescent="0.2">
      <c r="B781" s="3"/>
      <c r="S781" s="3"/>
      <c r="T781" s="17"/>
    </row>
    <row r="782" spans="2:20" x14ac:dyDescent="0.2">
      <c r="B782" s="3"/>
      <c r="S782" s="3"/>
      <c r="T782" s="17"/>
    </row>
    <row r="783" spans="2:20" x14ac:dyDescent="0.2">
      <c r="B783" s="3"/>
      <c r="S783" s="3"/>
      <c r="T783" s="17"/>
    </row>
    <row r="784" spans="2:20" x14ac:dyDescent="0.2">
      <c r="B784" s="3"/>
      <c r="S784" s="3"/>
      <c r="T784" s="17"/>
    </row>
    <row r="785" spans="2:20" x14ac:dyDescent="0.2">
      <c r="B785" s="3"/>
      <c r="S785" s="3"/>
      <c r="T785" s="17"/>
    </row>
    <row r="786" spans="2:20" x14ac:dyDescent="0.2">
      <c r="B786" s="3"/>
      <c r="S786" s="3"/>
      <c r="T786" s="17"/>
    </row>
    <row r="787" spans="2:20" x14ac:dyDescent="0.2">
      <c r="B787" s="3"/>
      <c r="S787" s="3"/>
      <c r="T787" s="17"/>
    </row>
    <row r="788" spans="2:20" x14ac:dyDescent="0.2">
      <c r="B788" s="3"/>
      <c r="S788" s="3"/>
      <c r="T788" s="17"/>
    </row>
    <row r="789" spans="2:20" x14ac:dyDescent="0.2">
      <c r="B789" s="3"/>
      <c r="S789" s="3"/>
      <c r="T789" s="17"/>
    </row>
    <row r="790" spans="2:20" x14ac:dyDescent="0.2">
      <c r="B790" s="3"/>
      <c r="S790" s="3"/>
      <c r="T790" s="17"/>
    </row>
    <row r="791" spans="2:20" x14ac:dyDescent="0.2">
      <c r="B791" s="3"/>
      <c r="S791" s="3"/>
      <c r="T791" s="17"/>
    </row>
    <row r="792" spans="2:20" x14ac:dyDescent="0.2">
      <c r="B792" s="3"/>
      <c r="S792" s="3"/>
      <c r="T792" s="17"/>
    </row>
    <row r="793" spans="2:20" x14ac:dyDescent="0.2">
      <c r="B793" s="3"/>
      <c r="S793" s="3"/>
      <c r="T793" s="17"/>
    </row>
    <row r="794" spans="2:20" x14ac:dyDescent="0.2">
      <c r="B794" s="3"/>
      <c r="S794" s="3"/>
      <c r="T794" s="17"/>
    </row>
    <row r="795" spans="2:20" x14ac:dyDescent="0.2">
      <c r="B795" s="3"/>
      <c r="S795" s="3"/>
      <c r="T795" s="17"/>
    </row>
    <row r="796" spans="2:20" x14ac:dyDescent="0.2">
      <c r="B796" s="3"/>
      <c r="S796" s="3"/>
      <c r="T796" s="17"/>
    </row>
    <row r="797" spans="2:20" x14ac:dyDescent="0.2">
      <c r="B797" s="3"/>
      <c r="S797" s="3"/>
      <c r="T797" s="17"/>
    </row>
    <row r="798" spans="2:20" x14ac:dyDescent="0.2">
      <c r="B798" s="3"/>
      <c r="S798" s="3"/>
      <c r="T798" s="17"/>
    </row>
    <row r="799" spans="2:20" x14ac:dyDescent="0.2">
      <c r="B799" s="3"/>
      <c r="S799" s="3"/>
      <c r="T799" s="17"/>
    </row>
    <row r="800" spans="2:20" x14ac:dyDescent="0.2">
      <c r="B800" s="3"/>
      <c r="S800" s="3"/>
      <c r="T800" s="17"/>
    </row>
    <row r="801" spans="2:20" x14ac:dyDescent="0.2">
      <c r="B801" s="3"/>
      <c r="S801" s="3"/>
      <c r="T801" s="17"/>
    </row>
    <row r="802" spans="2:20" x14ac:dyDescent="0.2">
      <c r="B802" s="3"/>
      <c r="S802" s="3"/>
      <c r="T802" s="17"/>
    </row>
    <row r="803" spans="2:20" x14ac:dyDescent="0.2">
      <c r="B803" s="3"/>
      <c r="S803" s="3"/>
      <c r="T803" s="17"/>
    </row>
    <row r="804" spans="2:20" x14ac:dyDescent="0.2">
      <c r="B804" s="3"/>
      <c r="S804" s="3"/>
      <c r="T804" s="17"/>
    </row>
    <row r="805" spans="2:20" x14ac:dyDescent="0.2">
      <c r="B805" s="3"/>
      <c r="S805" s="3"/>
      <c r="T805" s="17"/>
    </row>
    <row r="806" spans="2:20" x14ac:dyDescent="0.2">
      <c r="B806" s="3"/>
      <c r="S806" s="3"/>
      <c r="T806" s="17"/>
    </row>
    <row r="807" spans="2:20" x14ac:dyDescent="0.2">
      <c r="B807" s="3"/>
      <c r="S807" s="3"/>
      <c r="T807" s="17"/>
    </row>
    <row r="808" spans="2:20" x14ac:dyDescent="0.2">
      <c r="B808" s="3"/>
      <c r="S808" s="3"/>
      <c r="T808" s="17"/>
    </row>
    <row r="809" spans="2:20" x14ac:dyDescent="0.2">
      <c r="B809" s="3"/>
      <c r="S809" s="3"/>
      <c r="T809" s="17"/>
    </row>
    <row r="810" spans="2:20" x14ac:dyDescent="0.2">
      <c r="B810" s="3"/>
      <c r="S810" s="3"/>
      <c r="T810" s="17"/>
    </row>
    <row r="811" spans="2:20" x14ac:dyDescent="0.2">
      <c r="B811" s="3"/>
      <c r="S811" s="3"/>
      <c r="T811" s="17"/>
    </row>
    <row r="812" spans="2:20" x14ac:dyDescent="0.2">
      <c r="B812" s="3"/>
      <c r="S812" s="3"/>
      <c r="T812" s="17"/>
    </row>
    <row r="813" spans="2:20" x14ac:dyDescent="0.2">
      <c r="B813" s="3"/>
      <c r="S813" s="3"/>
      <c r="T813" s="17"/>
    </row>
    <row r="814" spans="2:20" x14ac:dyDescent="0.2">
      <c r="B814" s="3"/>
      <c r="S814" s="3"/>
      <c r="T814" s="17"/>
    </row>
    <row r="815" spans="2:20" x14ac:dyDescent="0.2">
      <c r="B815" s="3"/>
      <c r="S815" s="3"/>
      <c r="T815" s="17"/>
    </row>
    <row r="816" spans="2:20" x14ac:dyDescent="0.2">
      <c r="B816" s="3"/>
      <c r="S816" s="3"/>
      <c r="T816" s="17"/>
    </row>
    <row r="817" spans="2:20" x14ac:dyDescent="0.2">
      <c r="B817" s="3"/>
      <c r="S817" s="3"/>
      <c r="T817" s="17"/>
    </row>
    <row r="818" spans="2:20" x14ac:dyDescent="0.2">
      <c r="B818" s="3"/>
      <c r="S818" s="3"/>
      <c r="T818" s="17"/>
    </row>
    <row r="819" spans="2:20" x14ac:dyDescent="0.2">
      <c r="B819" s="3"/>
      <c r="S819" s="3"/>
      <c r="T819" s="17"/>
    </row>
    <row r="820" spans="2:20" x14ac:dyDescent="0.2">
      <c r="B820" s="3"/>
      <c r="S820" s="3"/>
      <c r="T820" s="17"/>
    </row>
    <row r="821" spans="2:20" x14ac:dyDescent="0.2">
      <c r="B821" s="3"/>
      <c r="S821" s="3"/>
      <c r="T821" s="17"/>
    </row>
    <row r="822" spans="2:20" x14ac:dyDescent="0.2">
      <c r="B822" s="3"/>
      <c r="S822" s="3"/>
      <c r="T822" s="17"/>
    </row>
    <row r="823" spans="2:20" x14ac:dyDescent="0.2">
      <c r="B823" s="3"/>
      <c r="S823" s="3"/>
      <c r="T823" s="17"/>
    </row>
    <row r="824" spans="2:20" x14ac:dyDescent="0.2">
      <c r="B824" s="3"/>
      <c r="S824" s="3"/>
      <c r="T824" s="17"/>
    </row>
    <row r="825" spans="2:20" x14ac:dyDescent="0.2">
      <c r="B825" s="3"/>
      <c r="S825" s="3"/>
      <c r="T825" s="17"/>
    </row>
    <row r="826" spans="2:20" x14ac:dyDescent="0.2">
      <c r="B826" s="3"/>
      <c r="S826" s="3"/>
      <c r="T826" s="17"/>
    </row>
    <row r="827" spans="2:20" x14ac:dyDescent="0.2">
      <c r="B827" s="3"/>
      <c r="S827" s="3"/>
      <c r="T827" s="17"/>
    </row>
    <row r="828" spans="2:20" x14ac:dyDescent="0.2">
      <c r="B828" s="3"/>
      <c r="S828" s="3"/>
      <c r="T828" s="17"/>
    </row>
    <row r="829" spans="2:20" x14ac:dyDescent="0.2">
      <c r="B829" s="3"/>
      <c r="S829" s="3"/>
      <c r="T829" s="17"/>
    </row>
    <row r="830" spans="2:20" x14ac:dyDescent="0.2">
      <c r="B830" s="3"/>
      <c r="S830" s="3"/>
      <c r="T830" s="17"/>
    </row>
    <row r="831" spans="2:20" x14ac:dyDescent="0.2">
      <c r="B831" s="3"/>
      <c r="S831" s="3"/>
      <c r="T831" s="17"/>
    </row>
    <row r="832" spans="2:20" x14ac:dyDescent="0.2">
      <c r="B832" s="3"/>
      <c r="S832" s="3"/>
      <c r="T832" s="17"/>
    </row>
    <row r="833" spans="2:20" x14ac:dyDescent="0.2">
      <c r="B833" s="3"/>
      <c r="S833" s="3"/>
      <c r="T833" s="17"/>
    </row>
    <row r="834" spans="2:20" x14ac:dyDescent="0.2">
      <c r="B834" s="3"/>
      <c r="S834" s="3"/>
      <c r="T834" s="17"/>
    </row>
    <row r="835" spans="2:20" x14ac:dyDescent="0.2">
      <c r="B835" s="3"/>
      <c r="S835" s="3"/>
      <c r="T835" s="17"/>
    </row>
    <row r="836" spans="2:20" x14ac:dyDescent="0.2">
      <c r="B836" s="3"/>
      <c r="S836" s="3"/>
      <c r="T836" s="17"/>
    </row>
    <row r="837" spans="2:20" x14ac:dyDescent="0.2">
      <c r="B837" s="3"/>
      <c r="S837" s="3"/>
      <c r="T837" s="17"/>
    </row>
    <row r="838" spans="2:20" x14ac:dyDescent="0.2">
      <c r="B838" s="3"/>
      <c r="S838" s="3"/>
      <c r="T838" s="17"/>
    </row>
    <row r="839" spans="2:20" x14ac:dyDescent="0.2">
      <c r="B839" s="3"/>
      <c r="S839" s="3"/>
      <c r="T839" s="17"/>
    </row>
    <row r="840" spans="2:20" x14ac:dyDescent="0.2">
      <c r="B840" s="3"/>
      <c r="S840" s="3"/>
      <c r="T840" s="17"/>
    </row>
    <row r="841" spans="2:20" x14ac:dyDescent="0.2">
      <c r="B841" s="3"/>
      <c r="S841" s="3"/>
      <c r="T841" s="17"/>
    </row>
    <row r="842" spans="2:20" x14ac:dyDescent="0.2">
      <c r="B842" s="3"/>
      <c r="S842" s="3"/>
      <c r="T842" s="17"/>
    </row>
    <row r="843" spans="2:20" x14ac:dyDescent="0.2">
      <c r="B843" s="3"/>
      <c r="S843" s="3"/>
      <c r="T843" s="17"/>
    </row>
    <row r="844" spans="2:20" x14ac:dyDescent="0.2">
      <c r="B844" s="3"/>
      <c r="S844" s="3"/>
      <c r="T844" s="17"/>
    </row>
    <row r="845" spans="2:20" x14ac:dyDescent="0.2">
      <c r="B845" s="3"/>
      <c r="S845" s="3"/>
      <c r="T845" s="17"/>
    </row>
    <row r="846" spans="2:20" x14ac:dyDescent="0.2">
      <c r="B846" s="3"/>
      <c r="S846" s="3"/>
      <c r="T846" s="17"/>
    </row>
    <row r="847" spans="2:20" x14ac:dyDescent="0.2">
      <c r="B847" s="3"/>
      <c r="S847" s="3"/>
      <c r="T847" s="17"/>
    </row>
    <row r="848" spans="2:20" x14ac:dyDescent="0.2">
      <c r="B848" s="3"/>
      <c r="S848" s="3"/>
      <c r="T848" s="17"/>
    </row>
    <row r="849" spans="2:20" x14ac:dyDescent="0.2">
      <c r="B849" s="3"/>
      <c r="S849" s="3"/>
      <c r="T849" s="17"/>
    </row>
    <row r="850" spans="2:20" x14ac:dyDescent="0.2">
      <c r="B850" s="3"/>
      <c r="S850" s="3"/>
      <c r="T850" s="17"/>
    </row>
    <row r="851" spans="2:20" x14ac:dyDescent="0.2">
      <c r="B851" s="3"/>
      <c r="S851" s="3"/>
      <c r="T851" s="17"/>
    </row>
    <row r="852" spans="2:20" x14ac:dyDescent="0.2">
      <c r="B852" s="3"/>
      <c r="S852" s="3"/>
      <c r="T852" s="17"/>
    </row>
    <row r="853" spans="2:20" x14ac:dyDescent="0.2">
      <c r="B853" s="3"/>
      <c r="S853" s="3"/>
      <c r="T853" s="17"/>
    </row>
    <row r="854" spans="2:20" x14ac:dyDescent="0.2">
      <c r="B854" s="3"/>
      <c r="S854" s="3"/>
      <c r="T854" s="17"/>
    </row>
    <row r="855" spans="2:20" x14ac:dyDescent="0.2">
      <c r="B855" s="3"/>
      <c r="S855" s="3"/>
      <c r="T855" s="17"/>
    </row>
    <row r="856" spans="2:20" x14ac:dyDescent="0.2">
      <c r="B856" s="3"/>
      <c r="S856" s="3"/>
      <c r="T856" s="17"/>
    </row>
    <row r="857" spans="2:20" x14ac:dyDescent="0.2">
      <c r="B857" s="3"/>
      <c r="S857" s="3"/>
      <c r="T857" s="17"/>
    </row>
    <row r="858" spans="2:20" x14ac:dyDescent="0.2">
      <c r="B858" s="3"/>
      <c r="S858" s="3"/>
      <c r="T858" s="17"/>
    </row>
    <row r="859" spans="2:20" x14ac:dyDescent="0.2">
      <c r="B859" s="3"/>
      <c r="S859" s="3"/>
      <c r="T859" s="17"/>
    </row>
    <row r="860" spans="2:20" x14ac:dyDescent="0.2">
      <c r="B860" s="3"/>
      <c r="S860" s="3"/>
      <c r="T860" s="17"/>
    </row>
    <row r="861" spans="2:20" x14ac:dyDescent="0.2">
      <c r="B861" s="3"/>
      <c r="S861" s="3"/>
      <c r="T861" s="17"/>
    </row>
    <row r="862" spans="2:20" x14ac:dyDescent="0.2">
      <c r="B862" s="3"/>
      <c r="S862" s="3"/>
      <c r="T862" s="17"/>
    </row>
    <row r="863" spans="2:20" x14ac:dyDescent="0.2">
      <c r="B863" s="3"/>
      <c r="S863" s="3"/>
      <c r="T863" s="17"/>
    </row>
    <row r="864" spans="2:20" x14ac:dyDescent="0.2">
      <c r="B864" s="3"/>
      <c r="S864" s="3"/>
      <c r="T864" s="17"/>
    </row>
    <row r="865" spans="2:20" x14ac:dyDescent="0.2">
      <c r="B865" s="3"/>
      <c r="S865" s="3"/>
      <c r="T865" s="17"/>
    </row>
    <row r="866" spans="2:20" x14ac:dyDescent="0.2">
      <c r="B866" s="3"/>
      <c r="S866" s="3"/>
      <c r="T866" s="17"/>
    </row>
    <row r="867" spans="2:20" x14ac:dyDescent="0.2">
      <c r="B867" s="3"/>
      <c r="S867" s="3"/>
      <c r="T867" s="17"/>
    </row>
    <row r="868" spans="2:20" x14ac:dyDescent="0.2">
      <c r="B868" s="3"/>
      <c r="S868" s="3"/>
      <c r="T868" s="17"/>
    </row>
    <row r="869" spans="2:20" x14ac:dyDescent="0.2">
      <c r="B869" s="3"/>
      <c r="S869" s="3"/>
      <c r="T869" s="17"/>
    </row>
    <row r="870" spans="2:20" x14ac:dyDescent="0.2">
      <c r="B870" s="3"/>
      <c r="S870" s="3"/>
      <c r="T870" s="17"/>
    </row>
    <row r="871" spans="2:20" x14ac:dyDescent="0.2">
      <c r="B871" s="3"/>
      <c r="S871" s="3"/>
      <c r="T871" s="17"/>
    </row>
    <row r="872" spans="2:20" x14ac:dyDescent="0.2">
      <c r="B872" s="3"/>
      <c r="S872" s="3"/>
      <c r="T872" s="17"/>
    </row>
    <row r="873" spans="2:20" x14ac:dyDescent="0.2">
      <c r="B873" s="3"/>
      <c r="S873" s="3"/>
      <c r="T873" s="17"/>
    </row>
    <row r="874" spans="2:20" x14ac:dyDescent="0.2">
      <c r="B874" s="3"/>
      <c r="S874" s="3"/>
      <c r="T874" s="17"/>
    </row>
    <row r="875" spans="2:20" x14ac:dyDescent="0.2">
      <c r="B875" s="3"/>
      <c r="S875" s="3"/>
      <c r="T875" s="17"/>
    </row>
    <row r="876" spans="2:20" x14ac:dyDescent="0.2">
      <c r="B876" s="3"/>
      <c r="S876" s="3"/>
      <c r="T876" s="17"/>
    </row>
    <row r="877" spans="2:20" x14ac:dyDescent="0.2">
      <c r="B877" s="3"/>
      <c r="S877" s="3"/>
      <c r="T877" s="17"/>
    </row>
    <row r="878" spans="2:20" x14ac:dyDescent="0.2">
      <c r="B878" s="3"/>
      <c r="S878" s="3"/>
      <c r="T878" s="17"/>
    </row>
    <row r="879" spans="2:20" x14ac:dyDescent="0.2">
      <c r="B879" s="3"/>
      <c r="S879" s="3"/>
      <c r="T879" s="17"/>
    </row>
    <row r="880" spans="2:20" x14ac:dyDescent="0.2">
      <c r="B880" s="3"/>
      <c r="S880" s="3"/>
      <c r="T880" s="17"/>
    </row>
    <row r="881" spans="2:20" x14ac:dyDescent="0.2">
      <c r="B881" s="3"/>
      <c r="S881" s="3"/>
      <c r="T881" s="17"/>
    </row>
    <row r="882" spans="2:20" x14ac:dyDescent="0.2">
      <c r="B882" s="3"/>
      <c r="S882" s="3"/>
      <c r="T882" s="17"/>
    </row>
    <row r="883" spans="2:20" x14ac:dyDescent="0.2">
      <c r="B883" s="3"/>
      <c r="S883" s="3"/>
      <c r="T883" s="17"/>
    </row>
    <row r="884" spans="2:20" x14ac:dyDescent="0.2">
      <c r="B884" s="3"/>
      <c r="S884" s="3"/>
      <c r="T884" s="17"/>
    </row>
    <row r="885" spans="2:20" x14ac:dyDescent="0.2">
      <c r="B885" s="3"/>
      <c r="S885" s="3"/>
      <c r="T885" s="17"/>
    </row>
    <row r="886" spans="2:20" x14ac:dyDescent="0.2">
      <c r="B886" s="3"/>
      <c r="S886" s="3"/>
      <c r="T886" s="17"/>
    </row>
    <row r="887" spans="2:20" x14ac:dyDescent="0.2">
      <c r="B887" s="3"/>
      <c r="S887" s="3"/>
      <c r="T887" s="17"/>
    </row>
    <row r="888" spans="2:20" x14ac:dyDescent="0.2">
      <c r="B888" s="3"/>
      <c r="S888" s="3"/>
      <c r="T888" s="17"/>
    </row>
    <row r="889" spans="2:20" x14ac:dyDescent="0.2">
      <c r="B889" s="3"/>
      <c r="S889" s="3"/>
      <c r="T889" s="17"/>
    </row>
    <row r="890" spans="2:20" x14ac:dyDescent="0.2">
      <c r="B890" s="3"/>
      <c r="S890" s="3"/>
      <c r="T890" s="17"/>
    </row>
    <row r="891" spans="2:20" x14ac:dyDescent="0.2">
      <c r="B891" s="3"/>
      <c r="S891" s="3"/>
      <c r="T891" s="17"/>
    </row>
    <row r="892" spans="2:20" x14ac:dyDescent="0.2">
      <c r="B892" s="3"/>
      <c r="S892" s="3"/>
      <c r="T892" s="17"/>
    </row>
    <row r="893" spans="2:20" x14ac:dyDescent="0.2">
      <c r="B893" s="3"/>
      <c r="S893" s="3"/>
      <c r="T893" s="17"/>
    </row>
    <row r="894" spans="2:20" x14ac:dyDescent="0.2">
      <c r="B894" s="3"/>
      <c r="S894" s="3"/>
      <c r="T894" s="17"/>
    </row>
    <row r="895" spans="2:20" x14ac:dyDescent="0.2">
      <c r="B895" s="3"/>
      <c r="S895" s="3"/>
      <c r="T895" s="17"/>
    </row>
    <row r="896" spans="2:20" x14ac:dyDescent="0.2">
      <c r="B896" s="3"/>
      <c r="S896" s="3"/>
      <c r="T896" s="17"/>
    </row>
    <row r="897" spans="2:20" x14ac:dyDescent="0.2">
      <c r="B897" s="3"/>
      <c r="S897" s="3"/>
      <c r="T897" s="17"/>
    </row>
    <row r="898" spans="2:20" x14ac:dyDescent="0.2">
      <c r="B898" s="3"/>
      <c r="S898" s="3"/>
      <c r="T898" s="17"/>
    </row>
    <row r="899" spans="2:20" x14ac:dyDescent="0.2">
      <c r="B899" s="3"/>
      <c r="S899" s="3"/>
      <c r="T899" s="17"/>
    </row>
    <row r="900" spans="2:20" x14ac:dyDescent="0.2">
      <c r="B900" s="3"/>
      <c r="S900" s="3"/>
      <c r="T900" s="17"/>
    </row>
    <row r="901" spans="2:20" x14ac:dyDescent="0.2">
      <c r="B901" s="3"/>
      <c r="S901" s="3"/>
      <c r="T901" s="17"/>
    </row>
    <row r="902" spans="2:20" x14ac:dyDescent="0.2">
      <c r="B902" s="3"/>
      <c r="S902" s="3"/>
      <c r="T902" s="17"/>
    </row>
    <row r="903" spans="2:20" x14ac:dyDescent="0.2">
      <c r="B903" s="3"/>
      <c r="S903" s="3"/>
      <c r="T903" s="17"/>
    </row>
    <row r="904" spans="2:20" x14ac:dyDescent="0.2">
      <c r="B904" s="3"/>
      <c r="S904" s="3"/>
      <c r="T904" s="17"/>
    </row>
    <row r="905" spans="2:20" x14ac:dyDescent="0.2">
      <c r="B905" s="3"/>
      <c r="S905" s="3"/>
      <c r="T905" s="17"/>
    </row>
    <row r="906" spans="2:20" x14ac:dyDescent="0.2">
      <c r="B906" s="3"/>
      <c r="S906" s="3"/>
      <c r="T906" s="17"/>
    </row>
    <row r="907" spans="2:20" x14ac:dyDescent="0.2">
      <c r="B907" s="3"/>
      <c r="S907" s="3"/>
      <c r="T907" s="17"/>
    </row>
    <row r="908" spans="2:20" x14ac:dyDescent="0.2">
      <c r="B908" s="3"/>
      <c r="S908" s="3"/>
      <c r="T908" s="17"/>
    </row>
    <row r="909" spans="2:20" x14ac:dyDescent="0.2">
      <c r="B909" s="3"/>
      <c r="S909" s="3"/>
      <c r="T909" s="17"/>
    </row>
    <row r="910" spans="2:20" x14ac:dyDescent="0.2">
      <c r="B910" s="3"/>
      <c r="S910" s="3"/>
      <c r="T910" s="17"/>
    </row>
    <row r="911" spans="2:20" x14ac:dyDescent="0.2">
      <c r="B911" s="3"/>
      <c r="S911" s="3"/>
      <c r="T911" s="17"/>
    </row>
    <row r="912" spans="2:20" x14ac:dyDescent="0.2">
      <c r="B912" s="3"/>
      <c r="S912" s="3"/>
      <c r="T912" s="17"/>
    </row>
    <row r="913" spans="2:20" x14ac:dyDescent="0.2">
      <c r="B913" s="3"/>
      <c r="S913" s="3"/>
      <c r="T913" s="17"/>
    </row>
    <row r="914" spans="2:20" x14ac:dyDescent="0.2">
      <c r="B914" s="3"/>
      <c r="S914" s="3"/>
      <c r="T914" s="17"/>
    </row>
    <row r="915" spans="2:20" x14ac:dyDescent="0.2">
      <c r="B915" s="3"/>
      <c r="S915" s="3"/>
      <c r="T915" s="17"/>
    </row>
    <row r="916" spans="2:20" x14ac:dyDescent="0.2">
      <c r="B916" s="3"/>
      <c r="S916" s="3"/>
      <c r="T916" s="17"/>
    </row>
    <row r="917" spans="2:20" x14ac:dyDescent="0.2">
      <c r="B917" s="3"/>
      <c r="S917" s="3"/>
      <c r="T917" s="17"/>
    </row>
    <row r="918" spans="2:20" x14ac:dyDescent="0.2">
      <c r="B918" s="3"/>
      <c r="S918" s="3"/>
      <c r="T918" s="17"/>
    </row>
    <row r="919" spans="2:20" x14ac:dyDescent="0.2">
      <c r="B919" s="3"/>
      <c r="S919" s="3"/>
      <c r="T919" s="17"/>
    </row>
    <row r="920" spans="2:20" x14ac:dyDescent="0.2">
      <c r="B920" s="3"/>
      <c r="S920" s="3"/>
      <c r="T920" s="17"/>
    </row>
    <row r="921" spans="2:20" x14ac:dyDescent="0.2">
      <c r="B921" s="3"/>
      <c r="S921" s="3"/>
      <c r="T921" s="17"/>
    </row>
    <row r="922" spans="2:20" x14ac:dyDescent="0.2">
      <c r="B922" s="3"/>
      <c r="S922" s="3"/>
      <c r="T922" s="17"/>
    </row>
    <row r="923" spans="2:20" x14ac:dyDescent="0.2">
      <c r="B923" s="3"/>
      <c r="S923" s="3"/>
      <c r="T923" s="17"/>
    </row>
    <row r="924" spans="2:20" x14ac:dyDescent="0.2">
      <c r="B924" s="3"/>
      <c r="S924" s="3"/>
      <c r="T924" s="17"/>
    </row>
    <row r="925" spans="2:20" x14ac:dyDescent="0.2">
      <c r="B925" s="3"/>
      <c r="S925" s="3"/>
      <c r="T925" s="17"/>
    </row>
    <row r="926" spans="2:20" x14ac:dyDescent="0.2">
      <c r="B926" s="3"/>
      <c r="S926" s="3"/>
      <c r="T926" s="17"/>
    </row>
    <row r="927" spans="2:20" x14ac:dyDescent="0.2">
      <c r="B927" s="3"/>
      <c r="S927" s="3"/>
      <c r="T927" s="17"/>
    </row>
    <row r="928" spans="2:20" x14ac:dyDescent="0.2">
      <c r="B928" s="3"/>
      <c r="S928" s="3"/>
      <c r="T928" s="17"/>
    </row>
    <row r="929" spans="2:20" x14ac:dyDescent="0.2">
      <c r="B929" s="3"/>
      <c r="S929" s="3"/>
      <c r="T929" s="17"/>
    </row>
    <row r="930" spans="2:20" x14ac:dyDescent="0.2">
      <c r="B930" s="3"/>
      <c r="S930" s="3"/>
      <c r="T930" s="17"/>
    </row>
    <row r="931" spans="2:20" x14ac:dyDescent="0.2">
      <c r="B931" s="3"/>
      <c r="S931" s="3"/>
      <c r="T931" s="17"/>
    </row>
    <row r="932" spans="2:20" x14ac:dyDescent="0.2">
      <c r="B932" s="3"/>
      <c r="S932" s="3"/>
      <c r="T932" s="17"/>
    </row>
    <row r="933" spans="2:20" x14ac:dyDescent="0.2">
      <c r="B933" s="3"/>
      <c r="S933" s="3"/>
      <c r="T933" s="17"/>
    </row>
    <row r="934" spans="2:20" x14ac:dyDescent="0.2">
      <c r="B934" s="3"/>
      <c r="S934" s="3"/>
      <c r="T934" s="17"/>
    </row>
    <row r="935" spans="2:20" x14ac:dyDescent="0.2">
      <c r="B935" s="3"/>
      <c r="S935" s="3"/>
      <c r="T935" s="17"/>
    </row>
    <row r="936" spans="2:20" x14ac:dyDescent="0.2">
      <c r="B936" s="3"/>
      <c r="S936" s="3"/>
      <c r="T936" s="17"/>
    </row>
    <row r="937" spans="2:20" x14ac:dyDescent="0.2">
      <c r="B937" s="3"/>
      <c r="S937" s="3"/>
      <c r="T937" s="17"/>
    </row>
    <row r="938" spans="2:20" x14ac:dyDescent="0.2">
      <c r="B938" s="3"/>
      <c r="S938" s="3"/>
      <c r="T938" s="17"/>
    </row>
    <row r="939" spans="2:20" x14ac:dyDescent="0.2">
      <c r="B939" s="3"/>
      <c r="S939" s="3"/>
      <c r="T939" s="17"/>
    </row>
    <row r="940" spans="2:20" x14ac:dyDescent="0.2">
      <c r="B940" s="3"/>
      <c r="S940" s="3"/>
      <c r="T940" s="17"/>
    </row>
    <row r="941" spans="2:20" x14ac:dyDescent="0.2">
      <c r="B941" s="3"/>
      <c r="S941" s="3"/>
      <c r="T941" s="17"/>
    </row>
    <row r="942" spans="2:20" x14ac:dyDescent="0.2">
      <c r="B942" s="3"/>
      <c r="S942" s="3"/>
      <c r="T942" s="17"/>
    </row>
    <row r="943" spans="2:20" x14ac:dyDescent="0.2">
      <c r="B943" s="3"/>
      <c r="S943" s="3"/>
      <c r="T943" s="17"/>
    </row>
    <row r="944" spans="2:20" x14ac:dyDescent="0.2">
      <c r="B944" s="3"/>
      <c r="S944" s="3"/>
      <c r="T944" s="17"/>
    </row>
    <row r="945" spans="2:20" x14ac:dyDescent="0.2">
      <c r="B945" s="3"/>
      <c r="S945" s="3"/>
      <c r="T945" s="17"/>
    </row>
    <row r="946" spans="2:20" x14ac:dyDescent="0.2">
      <c r="B946" s="3"/>
      <c r="S946" s="3"/>
      <c r="T946" s="17"/>
    </row>
    <row r="947" spans="2:20" x14ac:dyDescent="0.2">
      <c r="B947" s="3"/>
      <c r="S947" s="3"/>
      <c r="T947" s="17"/>
    </row>
    <row r="948" spans="2:20" x14ac:dyDescent="0.2">
      <c r="B948" s="3"/>
      <c r="S948" s="3"/>
      <c r="T948" s="17"/>
    </row>
    <row r="949" spans="2:20" x14ac:dyDescent="0.2">
      <c r="B949" s="3"/>
      <c r="S949" s="3"/>
      <c r="T949" s="17"/>
    </row>
    <row r="950" spans="2:20" x14ac:dyDescent="0.2">
      <c r="B950" s="3"/>
      <c r="S950" s="3"/>
      <c r="T950" s="17"/>
    </row>
    <row r="951" spans="2:20" x14ac:dyDescent="0.2">
      <c r="B951" s="3"/>
      <c r="S951" s="3"/>
      <c r="T951" s="17"/>
    </row>
    <row r="952" spans="2:20" x14ac:dyDescent="0.2">
      <c r="B952" s="3"/>
      <c r="S952" s="3"/>
      <c r="T952" s="17"/>
    </row>
    <row r="953" spans="2:20" x14ac:dyDescent="0.2">
      <c r="B953" s="3"/>
      <c r="S953" s="3"/>
      <c r="T953" s="17"/>
    </row>
    <row r="954" spans="2:20" x14ac:dyDescent="0.2">
      <c r="B954" s="3"/>
      <c r="S954" s="3"/>
      <c r="T954" s="17"/>
    </row>
    <row r="955" spans="2:20" x14ac:dyDescent="0.2">
      <c r="B955" s="3"/>
      <c r="S955" s="3"/>
      <c r="T955" s="17"/>
    </row>
    <row r="956" spans="2:20" x14ac:dyDescent="0.2">
      <c r="B956" s="3"/>
      <c r="S956" s="3"/>
      <c r="T956" s="17"/>
    </row>
    <row r="957" spans="2:20" x14ac:dyDescent="0.2">
      <c r="B957" s="3"/>
      <c r="S957" s="3"/>
      <c r="T957" s="17"/>
    </row>
    <row r="958" spans="2:20" x14ac:dyDescent="0.2">
      <c r="B958" s="3"/>
      <c r="S958" s="3"/>
      <c r="T958" s="17"/>
    </row>
    <row r="959" spans="2:20" x14ac:dyDescent="0.2">
      <c r="B959" s="3"/>
      <c r="S959" s="3"/>
      <c r="T959" s="17"/>
    </row>
    <row r="960" spans="2:20" x14ac:dyDescent="0.2">
      <c r="B960" s="3"/>
      <c r="S960" s="3"/>
      <c r="T960" s="17"/>
    </row>
    <row r="961" spans="2:20" x14ac:dyDescent="0.2">
      <c r="B961" s="3"/>
      <c r="S961" s="3"/>
      <c r="T961" s="17"/>
    </row>
    <row r="962" spans="2:20" x14ac:dyDescent="0.2">
      <c r="B962" s="3"/>
      <c r="S962" s="3"/>
      <c r="T962" s="17"/>
    </row>
    <row r="963" spans="2:20" x14ac:dyDescent="0.2">
      <c r="B963" s="3"/>
      <c r="S963" s="3"/>
      <c r="T963" s="17"/>
    </row>
    <row r="964" spans="2:20" x14ac:dyDescent="0.2">
      <c r="B964" s="3"/>
      <c r="S964" s="3"/>
      <c r="T964" s="17"/>
    </row>
    <row r="965" spans="2:20" x14ac:dyDescent="0.2">
      <c r="B965" s="3"/>
      <c r="S965" s="3"/>
      <c r="T965" s="17"/>
    </row>
    <row r="966" spans="2:20" x14ac:dyDescent="0.2">
      <c r="B966" s="3"/>
      <c r="S966" s="3"/>
      <c r="T966" s="17"/>
    </row>
    <row r="967" spans="2:20" x14ac:dyDescent="0.2">
      <c r="B967" s="3"/>
      <c r="S967" s="3"/>
      <c r="T967" s="17"/>
    </row>
    <row r="968" spans="2:20" x14ac:dyDescent="0.2">
      <c r="B968" s="3"/>
      <c r="S968" s="3"/>
      <c r="T968" s="17"/>
    </row>
    <row r="969" spans="2:20" x14ac:dyDescent="0.2">
      <c r="B969" s="3"/>
      <c r="S969" s="3"/>
      <c r="T969" s="17"/>
    </row>
    <row r="970" spans="2:20" x14ac:dyDescent="0.2">
      <c r="B970" s="3"/>
      <c r="S970" s="3"/>
      <c r="T970" s="17"/>
    </row>
    <row r="971" spans="2:20" x14ac:dyDescent="0.2">
      <c r="B971" s="3"/>
      <c r="S971" s="3"/>
      <c r="T971" s="17"/>
    </row>
    <row r="972" spans="2:20" x14ac:dyDescent="0.2">
      <c r="B972" s="3"/>
      <c r="S972" s="3"/>
      <c r="T972" s="17"/>
    </row>
    <row r="973" spans="2:20" x14ac:dyDescent="0.2">
      <c r="B973" s="3"/>
      <c r="S973" s="3"/>
      <c r="T973" s="17"/>
    </row>
    <row r="974" spans="2:20" x14ac:dyDescent="0.2">
      <c r="B974" s="3"/>
      <c r="S974" s="3"/>
      <c r="T974" s="17"/>
    </row>
    <row r="975" spans="2:20" x14ac:dyDescent="0.2">
      <c r="B975" s="3"/>
      <c r="S975" s="3"/>
      <c r="T975" s="17"/>
    </row>
    <row r="976" spans="2:20" x14ac:dyDescent="0.2">
      <c r="B976" s="3"/>
      <c r="S976" s="3"/>
      <c r="T976" s="17"/>
    </row>
    <row r="977" spans="2:20" x14ac:dyDescent="0.2">
      <c r="B977" s="3"/>
      <c r="S977" s="3"/>
      <c r="T977" s="17"/>
    </row>
    <row r="978" spans="2:20" x14ac:dyDescent="0.2">
      <c r="B978" s="3"/>
      <c r="S978" s="3"/>
      <c r="T978" s="17"/>
    </row>
    <row r="979" spans="2:20" x14ac:dyDescent="0.2">
      <c r="B979" s="3"/>
      <c r="S979" s="3"/>
      <c r="T979" s="17"/>
    </row>
    <row r="980" spans="2:20" x14ac:dyDescent="0.2">
      <c r="B980" s="3"/>
      <c r="S980" s="3"/>
      <c r="T980" s="17"/>
    </row>
    <row r="981" spans="2:20" x14ac:dyDescent="0.2">
      <c r="B981" s="3"/>
      <c r="S981" s="3"/>
      <c r="T981" s="17"/>
    </row>
    <row r="982" spans="2:20" x14ac:dyDescent="0.2">
      <c r="B982" s="3"/>
      <c r="S982" s="3"/>
      <c r="T982" s="17"/>
    </row>
    <row r="983" spans="2:20" x14ac:dyDescent="0.2">
      <c r="B983" s="3"/>
      <c r="S983" s="3"/>
      <c r="T983" s="17"/>
    </row>
    <row r="984" spans="2:20" x14ac:dyDescent="0.2">
      <c r="B984" s="3"/>
      <c r="S984" s="3"/>
      <c r="T984" s="17"/>
    </row>
    <row r="985" spans="2:20" x14ac:dyDescent="0.2">
      <c r="B985" s="3"/>
      <c r="S985" s="3"/>
      <c r="T985" s="17"/>
    </row>
    <row r="986" spans="2:20" x14ac:dyDescent="0.2">
      <c r="B986" s="3"/>
      <c r="S986" s="3"/>
      <c r="T986" s="17"/>
    </row>
    <row r="987" spans="2:20" x14ac:dyDescent="0.2">
      <c r="B987" s="3"/>
      <c r="S987" s="3"/>
      <c r="T987" s="17"/>
    </row>
    <row r="988" spans="2:20" x14ac:dyDescent="0.2">
      <c r="B988" s="3"/>
      <c r="S988" s="3"/>
      <c r="T988" s="17"/>
    </row>
    <row r="989" spans="2:20" x14ac:dyDescent="0.2">
      <c r="B989" s="3"/>
      <c r="S989" s="3"/>
      <c r="T989" s="17"/>
    </row>
    <row r="990" spans="2:20" x14ac:dyDescent="0.2">
      <c r="B990" s="3"/>
      <c r="S990" s="3"/>
      <c r="T990" s="17"/>
    </row>
    <row r="991" spans="2:20" x14ac:dyDescent="0.2">
      <c r="B991" s="3"/>
      <c r="S991" s="3"/>
      <c r="T991" s="17"/>
    </row>
    <row r="992" spans="2:20" x14ac:dyDescent="0.2">
      <c r="B992" s="3"/>
      <c r="S992" s="3"/>
      <c r="T992" s="17"/>
    </row>
    <row r="993" spans="2:20" x14ac:dyDescent="0.2">
      <c r="B993" s="3"/>
      <c r="S993" s="3"/>
      <c r="T993" s="17"/>
    </row>
    <row r="994" spans="2:20" x14ac:dyDescent="0.2">
      <c r="B994" s="3"/>
      <c r="S994" s="3"/>
      <c r="T994" s="17"/>
    </row>
    <row r="995" spans="2:20" x14ac:dyDescent="0.2">
      <c r="B995" s="3"/>
      <c r="S995" s="3"/>
      <c r="T995" s="17"/>
    </row>
    <row r="996" spans="2:20" x14ac:dyDescent="0.2">
      <c r="B996" s="3"/>
      <c r="S996" s="3"/>
      <c r="T996" s="17"/>
    </row>
    <row r="997" spans="2:20" x14ac:dyDescent="0.2">
      <c r="B997" s="3"/>
      <c r="S997" s="3"/>
      <c r="T997" s="17"/>
    </row>
    <row r="998" spans="2:20" x14ac:dyDescent="0.2">
      <c r="B998" s="3"/>
      <c r="S998" s="3"/>
      <c r="T998" s="17"/>
    </row>
    <row r="999" spans="2:20" x14ac:dyDescent="0.2">
      <c r="B999" s="3"/>
      <c r="S999" s="3"/>
      <c r="T999" s="17"/>
    </row>
    <row r="1000" spans="2:20" x14ac:dyDescent="0.2">
      <c r="B1000" s="3"/>
      <c r="S1000" s="3"/>
      <c r="T1000" s="17"/>
    </row>
  </sheetData>
  <mergeCells count="2">
    <mergeCell ref="A1:V1"/>
    <mergeCell ref="A2:V2"/>
  </mergeCells>
  <conditionalFormatting sqref="E4:E1000">
    <cfRule type="containsText" dxfId="14" priority="1" operator="containsText" text="P0 - Critical">
      <formula>NOT(ISERROR(SEARCH("P0 - Critical",E4)))</formula>
    </cfRule>
  </conditionalFormatting>
  <conditionalFormatting sqref="E4:E1000">
    <cfRule type="containsText" dxfId="13" priority="2" operator="containsText" text="P1 - High">
      <formula>NOT(ISERROR(SEARCH("P1 - High",E4)))</formula>
    </cfRule>
  </conditionalFormatting>
  <conditionalFormatting sqref="E4:E1000">
    <cfRule type="containsText" dxfId="12" priority="3" operator="containsText" text="P2 - Medium">
      <formula>NOT(ISERROR(SEARCH("P2 - Medium",E4)))</formula>
    </cfRule>
  </conditionalFormatting>
  <conditionalFormatting sqref="E4:E1000">
    <cfRule type="containsText" dxfId="11" priority="4" operator="containsText" text="P3 - Low">
      <formula>NOT(ISERROR(SEARCH("P3 - Low",E4)))</formula>
    </cfRule>
  </conditionalFormatting>
  <conditionalFormatting sqref="F4:F1000">
    <cfRule type="containsText" dxfId="10" priority="5" operator="containsText" text="S1 - Blocker">
      <formula>NOT(ISERROR(SEARCH("S1 - Blocker",F4)))</formula>
    </cfRule>
  </conditionalFormatting>
  <conditionalFormatting sqref="F4:F1000">
    <cfRule type="containsText" dxfId="9" priority="6" operator="containsText" text="S2 - Critical">
      <formula>NOT(ISERROR(SEARCH("S2 - Critical",F4)))</formula>
    </cfRule>
  </conditionalFormatting>
  <conditionalFormatting sqref="F4:F1000">
    <cfRule type="containsText" dxfId="8" priority="7" operator="containsText" text="S3 - Major">
      <formula>NOT(ISERROR(SEARCH("S3 - Major",F4)))</formula>
    </cfRule>
  </conditionalFormatting>
  <conditionalFormatting sqref="D4:D1000">
    <cfRule type="containsText" dxfId="7" priority="8" operator="containsText" text="Verified / Closed">
      <formula>NOT(ISERROR(SEARCH("Verified / Closed",D4)))</formula>
    </cfRule>
  </conditionalFormatting>
  <conditionalFormatting sqref="D4:D1000">
    <cfRule type="containsText" dxfId="6" priority="9" operator="containsText" text="Won't Fix">
      <formula>NOT(ISERROR(SEARCH("Won't Fix",D4)))</formula>
    </cfRule>
  </conditionalFormatting>
  <conditionalFormatting sqref="D4:D1000">
    <cfRule type="containsText" dxfId="5" priority="10" operator="containsText" text="Duplicate">
      <formula>NOT(ISERROR(SEARCH("Duplicate",D4)))</formula>
    </cfRule>
  </conditionalFormatting>
  <conditionalFormatting sqref="D4:D1000">
    <cfRule type="containsText" dxfId="4" priority="11" operator="containsText" text="Cannot Reproduce">
      <formula>NOT(ISERROR(SEARCH("Cannot Reproduce",D4)))</formula>
    </cfRule>
  </conditionalFormatting>
  <conditionalFormatting sqref="D4:D1000">
    <cfRule type="containsText" dxfId="3" priority="12" operator="containsText" text="Blocked">
      <formula>NOT(ISERROR(SEARCH("Blocked",D4)))</formula>
    </cfRule>
  </conditionalFormatting>
  <conditionalFormatting sqref="D4:D1000">
    <cfRule type="containsText" dxfId="2" priority="13" operator="containsText" text="New">
      <formula>NOT(ISERROR(SEARCH("New",D4)))</formula>
    </cfRule>
  </conditionalFormatting>
  <conditionalFormatting sqref="D4:D1000">
    <cfRule type="containsText" dxfId="1" priority="14" operator="containsText" text="Reopened">
      <formula>NOT(ISERROR(SEARCH("Reopened",D4)))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782603F3-F9A3-584A-B457-97730016A778}">
          <x14:formula1>
            <xm:f>Lists!$A$2:$A$12</xm:f>
          </x14:formula1>
          <xm:sqref>D4:D1000</xm:sqref>
        </x14:dataValidation>
        <x14:dataValidation type="list" allowBlank="1" showInputMessage="1" showErrorMessage="1" xr:uid="{04D20D72-F1DF-174E-813D-4EAD1AE2DAE4}">
          <x14:formula1>
            <xm:f>Lists!$B$2:$B$5</xm:f>
          </x14:formula1>
          <xm:sqref>E4:E1000</xm:sqref>
        </x14:dataValidation>
        <x14:dataValidation type="list" allowBlank="1" showInputMessage="1" showErrorMessage="1" xr:uid="{04AB3EFB-8C80-AC4C-9085-F0F8EBE43493}">
          <x14:formula1>
            <xm:f>Lists!$C$2:$C$6</xm:f>
          </x14:formula1>
          <xm:sqref>F4:F1000</xm:sqref>
        </x14:dataValidation>
        <x14:dataValidation type="list" allowBlank="1" showInputMessage="1" showErrorMessage="1" xr:uid="{2A7B5508-D477-8640-850C-D035458AE951}">
          <x14:formula1>
            <xm:f>Lists!$E$2:$E$16</xm:f>
          </x14:formula1>
          <xm:sqref>I4:I1000</xm:sqref>
        </x14:dataValidation>
        <x14:dataValidation type="list" allowBlank="1" showInputMessage="1" showErrorMessage="1" xr:uid="{981B1011-CA0D-754D-B464-DDF0B5F7BB99}">
          <x14:formula1>
            <xm:f>Lists!$F$2:$F$12</xm:f>
          </x14:formula1>
          <xm:sqref>J5:J1000</xm:sqref>
        </x14:dataValidation>
        <x14:dataValidation type="list" allowBlank="1" showInputMessage="1" showErrorMessage="1" xr:uid="{13A95596-0B0B-8745-8FEF-2FA6F271744E}">
          <x14:formula1>
            <xm:f>Lists!$G$2:$G$4</xm:f>
          </x14:formula1>
          <xm:sqref>K4:K1000</xm:sqref>
        </x14:dataValidation>
        <x14:dataValidation type="list" allowBlank="1" showInputMessage="1" showErrorMessage="1" xr:uid="{84D6BB33-65B1-1F43-BD7E-4E1730BA5D8C}">
          <x14:formula1>
            <xm:f>Lists!$H$2:$H$6</xm:f>
          </x14:formula1>
          <xm:sqref>P4:P1000</xm:sqref>
        </x14:dataValidation>
        <x14:dataValidation type="list" allowBlank="1" showInputMessage="1" showErrorMessage="1" xr:uid="{D151F62D-EA87-9648-85EC-9571DAAA2D07}">
          <x14:formula1>
            <xm:f>Lists!$D$2:$D$13</xm:f>
          </x14:formula1>
          <xm:sqref>H4:H1000</xm:sqref>
        </x14:dataValidation>
        <x14:dataValidation type="list" allowBlank="1" showInputMessage="1" showErrorMessage="1" xr:uid="{BEE490AA-042C-5C42-8F30-6DCD1335AAAC}">
          <x14:formula1>
            <xm:f>Lists!$F$2:$F$13</xm:f>
          </x14:formula1>
          <xm:sqref>J4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E3348-932F-2245-913F-8DC0DCF99B46}">
  <dimension ref="A1:H16"/>
  <sheetViews>
    <sheetView workbookViewId="0">
      <selection activeCell="F14" sqref="F14"/>
    </sheetView>
  </sheetViews>
  <sheetFormatPr baseColWidth="10" defaultRowHeight="16" x14ac:dyDescent="0.2"/>
  <cols>
    <col min="1" max="1" width="23.1640625" bestFit="1" customWidth="1"/>
    <col min="2" max="2" width="11" bestFit="1" customWidth="1"/>
    <col min="3" max="3" width="12.33203125" bestFit="1" customWidth="1"/>
    <col min="4" max="4" width="33" bestFit="1" customWidth="1"/>
    <col min="5" max="5" width="24.5" bestFit="1" customWidth="1"/>
    <col min="6" max="6" width="22.33203125" bestFit="1" customWidth="1"/>
    <col min="7" max="7" width="12" bestFit="1" customWidth="1"/>
    <col min="8" max="8" width="12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19</v>
      </c>
      <c r="C2" t="s">
        <v>23</v>
      </c>
      <c r="D2" t="s">
        <v>28</v>
      </c>
      <c r="E2" t="s">
        <v>39</v>
      </c>
      <c r="F2" t="s">
        <v>54</v>
      </c>
      <c r="G2" t="s">
        <v>65</v>
      </c>
      <c r="H2" t="s">
        <v>68</v>
      </c>
    </row>
    <row r="3" spans="1:8" x14ac:dyDescent="0.2">
      <c r="A3" t="s">
        <v>9</v>
      </c>
      <c r="B3" t="s">
        <v>20</v>
      </c>
      <c r="C3" t="s">
        <v>24</v>
      </c>
      <c r="D3" t="s">
        <v>29</v>
      </c>
      <c r="E3" t="s">
        <v>40</v>
      </c>
      <c r="F3" t="s">
        <v>55</v>
      </c>
      <c r="G3" t="s">
        <v>66</v>
      </c>
      <c r="H3" t="s">
        <v>69</v>
      </c>
    </row>
    <row r="4" spans="1:8" x14ac:dyDescent="0.2">
      <c r="A4" t="s">
        <v>10</v>
      </c>
      <c r="B4" t="s">
        <v>21</v>
      </c>
      <c r="C4" t="s">
        <v>25</v>
      </c>
      <c r="D4" t="s">
        <v>30</v>
      </c>
      <c r="E4" t="s">
        <v>41</v>
      </c>
      <c r="F4" t="s">
        <v>56</v>
      </c>
      <c r="G4" t="s">
        <v>67</v>
      </c>
      <c r="H4" t="s">
        <v>70</v>
      </c>
    </row>
    <row r="5" spans="1:8" x14ac:dyDescent="0.2">
      <c r="A5" t="s">
        <v>11</v>
      </c>
      <c r="B5" t="s">
        <v>22</v>
      </c>
      <c r="C5" t="s">
        <v>26</v>
      </c>
      <c r="D5" t="s">
        <v>31</v>
      </c>
      <c r="E5" t="s">
        <v>42</v>
      </c>
      <c r="F5" t="s">
        <v>57</v>
      </c>
      <c r="H5" t="s">
        <v>71</v>
      </c>
    </row>
    <row r="6" spans="1:8" x14ac:dyDescent="0.2">
      <c r="A6" t="s">
        <v>12</v>
      </c>
      <c r="C6" t="s">
        <v>27</v>
      </c>
      <c r="D6" t="s">
        <v>32</v>
      </c>
      <c r="E6" t="s">
        <v>43</v>
      </c>
      <c r="F6" t="s">
        <v>58</v>
      </c>
      <c r="H6" t="s">
        <v>72</v>
      </c>
    </row>
    <row r="7" spans="1:8" x14ac:dyDescent="0.2">
      <c r="A7" t="s">
        <v>13</v>
      </c>
      <c r="D7" t="s">
        <v>33</v>
      </c>
      <c r="E7" t="s">
        <v>44</v>
      </c>
      <c r="F7" t="s">
        <v>59</v>
      </c>
    </row>
    <row r="8" spans="1:8" x14ac:dyDescent="0.2">
      <c r="A8" t="s">
        <v>14</v>
      </c>
      <c r="D8" t="s">
        <v>34</v>
      </c>
      <c r="E8" t="s">
        <v>45</v>
      </c>
      <c r="F8" t="s">
        <v>60</v>
      </c>
    </row>
    <row r="9" spans="1:8" x14ac:dyDescent="0.2">
      <c r="A9" t="s">
        <v>15</v>
      </c>
      <c r="D9" t="s">
        <v>35</v>
      </c>
      <c r="E9" t="s">
        <v>46</v>
      </c>
      <c r="F9" t="s">
        <v>61</v>
      </c>
    </row>
    <row r="10" spans="1:8" x14ac:dyDescent="0.2">
      <c r="A10" t="s">
        <v>16</v>
      </c>
      <c r="D10" t="s">
        <v>36</v>
      </c>
      <c r="E10" t="s">
        <v>47</v>
      </c>
      <c r="F10" t="s">
        <v>62</v>
      </c>
    </row>
    <row r="11" spans="1:8" x14ac:dyDescent="0.2">
      <c r="A11" t="s">
        <v>17</v>
      </c>
      <c r="D11" t="s">
        <v>105</v>
      </c>
      <c r="E11" t="s">
        <v>48</v>
      </c>
      <c r="F11" t="s">
        <v>63</v>
      </c>
    </row>
    <row r="12" spans="1:8" x14ac:dyDescent="0.2">
      <c r="A12" t="s">
        <v>18</v>
      </c>
      <c r="D12" t="s">
        <v>37</v>
      </c>
      <c r="E12" t="s">
        <v>49</v>
      </c>
      <c r="F12" t="s">
        <v>64</v>
      </c>
    </row>
    <row r="13" spans="1:8" x14ac:dyDescent="0.2">
      <c r="D13" t="s">
        <v>38</v>
      </c>
      <c r="E13" t="s">
        <v>50</v>
      </c>
      <c r="F13" t="s">
        <v>106</v>
      </c>
    </row>
    <row r="14" spans="1:8" x14ac:dyDescent="0.2">
      <c r="E14" t="s">
        <v>51</v>
      </c>
    </row>
    <row r="15" spans="1:8" x14ac:dyDescent="0.2">
      <c r="E15" t="s">
        <v>52</v>
      </c>
    </row>
    <row r="16" spans="1:8" x14ac:dyDescent="0.2">
      <c r="E1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Bug Log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Caruana</dc:creator>
  <cp:lastModifiedBy>Kyle Caruana</cp:lastModifiedBy>
  <dcterms:created xsi:type="dcterms:W3CDTF">2026-06-29T07:35:27Z</dcterms:created>
  <dcterms:modified xsi:type="dcterms:W3CDTF">2026-06-29T07:55:19Z</dcterms:modified>
</cp:coreProperties>
</file>